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blr1ns5300\ES\ES\Software\787_EPGS\Products\workspace\Manjunath\SCA\SCA_Gaps_Reports\GCU_SCA_REPORT_4-1-2019\GCU_SCA_REPORT_Final\"/>
    </mc:Choice>
  </mc:AlternateContent>
  <bookViews>
    <workbookView xWindow="19230" yWindow="210" windowWidth="18765" windowHeight="11520" tabRatio="875"/>
  </bookViews>
  <sheets>
    <sheet name="Menu" sheetId="30" r:id="rId1"/>
    <sheet name="Summary" sheetId="228" r:id="rId2"/>
    <sheet name="Template" sheetId="37" r:id="rId3"/>
    <sheet name="CSV_Lists" sheetId="229" r:id="rId4"/>
    <sheet name="ABORTAIR2GNDOPTST" sheetId="230" r:id="rId5"/>
    <sheet name="ABORTCMSCINITIATEDOPTST" sheetId="231" r:id="rId6"/>
    <sheet name="ABORTEPOPTST" sheetId="232" r:id="rId7"/>
    <sheet name="ABORTPWRUPOPTST" sheetId="233" r:id="rId8"/>
    <sheet name="ACBE_GENTESTLOAD" sheetId="234" r:id="rId9"/>
    <sheet name="ACBE_LOGIC" sheetId="235" r:id="rId10"/>
    <sheet name="ACINTERLOCK" sheetId="236" r:id="rId11"/>
    <sheet name="ADJATRUCCONTROL" sheetId="237" r:id="rId12"/>
    <sheet name="ADJATUBUSSRCPRIORITY" sheetId="238" r:id="rId13"/>
    <sheet name="ADJGCUUFAILSAFE" sheetId="239" r:id="rId14"/>
    <sheet name="ADJL235BUSSRCPRIORITY" sheetId="240" r:id="rId15"/>
    <sheet name="ADJR235BUSSRCPRIORITY" sheetId="241" r:id="rId16"/>
    <sheet name="AEP_POWER_AVAILABILITY" sheetId="242" r:id="rId17"/>
    <sheet name="AEPC" sheetId="243" r:id="rId18"/>
    <sheet name="AEPCCHATTERPROTECTION" sheetId="244" r:id="rId19"/>
    <sheet name="AEPCCONTROL" sheetId="245" r:id="rId20"/>
    <sheet name="AEPCFTCPROTECTION" sheetId="246" r:id="rId21"/>
    <sheet name="AEPRECPTLAMP" sheetId="247" r:id="rId22"/>
    <sheet name="AEPSWTLAMP" sheetId="248" r:id="rId23"/>
    <sheet name="AFSR_CALLBACK" sheetId="249" r:id="rId24"/>
    <sheet name="AFTEPATRUHVDCUVPROT" sheetId="250" r:id="rId25"/>
    <sheet name="AFTEPATRUOTPROT" sheetId="251" r:id="rId26"/>
    <sheet name="AFTEPATRUSATURATION" sheetId="252" r:id="rId27"/>
    <sheet name="AFTEPMAINTENANCE" sheetId="253" r:id="rId28"/>
    <sheet name="AGCUOC2LOCKRESETS" sheetId="254" r:id="rId29"/>
    <sheet name="AIR2GNDOPTST" sheetId="255" r:id="rId30"/>
    <sheet name="AIR2GNDOPTSTMODE1" sheetId="256" r:id="rId31"/>
    <sheet name="AIR2GNDOPTSTMODE1_HOTBATTERYFE" sheetId="257" r:id="rId32"/>
    <sheet name="AIR2GNDOPTSTMODE2" sheetId="258" r:id="rId33"/>
    <sheet name="AIR2GNDOPTSTMODE2_FAN1" sheetId="259" r:id="rId34"/>
    <sheet name="AIR2GNDOPTSTMODE2_FAN2" sheetId="260" r:id="rId35"/>
    <sheet name="AIR2GNDOPTSTTOPLEVEL" sheetId="261" r:id="rId36"/>
    <sheet name="ANY_LRUFAILED" sheetId="262" r:id="rId37"/>
    <sheet name="ASGENGSTART" sheetId="263" r:id="rId38"/>
    <sheet name="ASGOC2ISOLATION" sheetId="264" r:id="rId39"/>
    <sheet name="ASGOC2PROTECTION" sheetId="265" r:id="rId40"/>
    <sheet name="ASGOCISOLATION" sheetId="266" r:id="rId41"/>
    <sheet name="ASGOCPROTECTION" sheetId="267" r:id="rId42"/>
    <sheet name="ASGOF1PROTECTION" sheetId="268" r:id="rId43"/>
    <sheet name="ASGOF2PROTECTION" sheetId="269" r:id="rId44"/>
    <sheet name="ASGSRDFAILSAFEPROTECTION" sheetId="270" r:id="rId45"/>
    <sheet name="ASGUFPROTECTION" sheetId="271" r:id="rId46"/>
    <sheet name="ASGUNDERSPEED" sheetId="272" r:id="rId47"/>
    <sheet name="ASGUSCYCLING" sheetId="273" r:id="rId48"/>
    <sheet name="ASGUV2PROTECTION" sheetId="274" r:id="rId49"/>
    <sheet name="ATRUC" sheetId="275" r:id="rId50"/>
    <sheet name="ATRUCFTCPROTECTION" sheetId="276" r:id="rId51"/>
    <sheet name="ATRUCFTO" sheetId="277" r:id="rId52"/>
    <sheet name="ATRUCPROTTRIPRQST" sheetId="278" r:id="rId53"/>
    <sheet name="ATRUMAINTENANCE" sheetId="279" r:id="rId54"/>
    <sheet name="ATRURIPPLE1PROT" sheetId="280" r:id="rId55"/>
    <sheet name="ATRURIPPLE2PROT" sheetId="281" r:id="rId56"/>
    <sheet name="ATRURIPPLEPROT" sheetId="282" r:id="rId57"/>
    <sheet name="ATRUUNBVOLTPROT" sheetId="283" r:id="rId58"/>
    <sheet name="ATUC" sheetId="284" r:id="rId59"/>
    <sheet name="ATUCFTCPROTECTION" sheetId="285" r:id="rId60"/>
    <sheet name="ATUCFTO1" sheetId="286" r:id="rId61"/>
    <sheet name="ATUCFTO2" sheetId="287" r:id="rId62"/>
    <sheet name="ATUCFTO3" sheetId="288" r:id="rId63"/>
    <sheet name="BBRLY" sheetId="289" r:id="rId64"/>
    <sheet name="BBRLYFTCPROTECTION" sheetId="290" r:id="rId65"/>
    <sheet name="BBRLYFTO" sheetId="291" r:id="rId66"/>
    <sheet name="BEARINGROTORPROTECTION" sheetId="292" r:id="rId67"/>
    <sheet name="BITE_EXECUTIVE" sheetId="322" r:id="rId68"/>
    <sheet name="BITE_HOOKS_AND_HANDLES" sheetId="294" r:id="rId69"/>
    <sheet name="BITE_IO" sheetId="295" r:id="rId70"/>
    <sheet name="BITE_UPDATE_DESIGN_NOTES" sheetId="296" r:id="rId71"/>
    <sheet name="BITE_UPDATE_SOFTWARE_HOOKS_OTH" sheetId="297" r:id="rId72"/>
    <sheet name="BUSATRUPROTECTION" sheetId="298" r:id="rId73"/>
    <sheet name="BUSOFFMAINTENANCE" sheetId="299" r:id="rId74"/>
    <sheet name="BUSSYNOPTICS" sheetId="300" r:id="rId75"/>
    <sheet name="BUSUVPROTECTON" sheetId="301" r:id="rId76"/>
    <sheet name="CALCULATE_PMGFREQUENCY" sheetId="302" r:id="rId77"/>
    <sheet name="CHATTERPROTECTION" sheetId="303" r:id="rId78"/>
    <sheet name="CMSCINITIATEDOPTST" sheetId="304" r:id="rId79"/>
    <sheet name="CMSCINITIATEDOPTST_ATRUCCACTRI" sheetId="305" r:id="rId80"/>
    <sheet name="CMSCINITIATEDOPTST_ATRUCEMPTRI" sheetId="306" r:id="rId81"/>
    <sheet name="CMSCINITIATEDOPTST_STARTCONTAC" sheetId="323" r:id="rId82"/>
    <sheet name="CMSCINITIATEDOPTSTTOPLEVEL" sheetId="308" r:id="rId83"/>
    <sheet name="CMSCSAFEINLKPROT" sheetId="309" r:id="rId84"/>
    <sheet name="CONTACTORPROTCOORD" sheetId="310" r:id="rId85"/>
    <sheet name="CONDITIONFIXEDTD" sheetId="311" r:id="rId86"/>
    <sheet name="CONDITIONFIXEDTDWITHINHIBIT" sheetId="312" r:id="rId87"/>
    <sheet name="DCCONTENTPROTECTION" sheetId="313" r:id="rId88"/>
    <sheet name="DCLINKMONPROTECTION" sheetId="314" r:id="rId89"/>
    <sheet name="DEBOUNCE_OWN235BUSRAWTARSRC" sheetId="315" r:id="rId90"/>
    <sheet name="DETERMINE_AIRCRAFTMODE" sheetId="316" r:id="rId91"/>
    <sheet name="DETERMINE_AIRCRAFTMODE_LIBRARY" sheetId="317" r:id="rId92"/>
    <sheet name="DETERMINE_OVTPUFAULT" sheetId="318" r:id="rId93"/>
    <sheet name="DPPROTECTION" sheetId="319" r:id="rId94"/>
    <sheet name="DUALASGCONTROL" sheetId="320" r:id="rId95"/>
    <sheet name="DUALASGMODE" sheetId="321" r:id="rId96"/>
  </sheets>
  <externalReferences>
    <externalReference r:id="rId97"/>
  </externalReferences>
  <definedNames>
    <definedName name="_xlnm._FilterDatabase" localSheetId="4" hidden="1">ABORTAIR2GNDOPTST!$A$18:$H$18</definedName>
    <definedName name="_xlnm._FilterDatabase" localSheetId="5" hidden="1">ABORTCMSCINITIATEDOPTST!$A$18:$H$18</definedName>
    <definedName name="_xlnm._FilterDatabase" localSheetId="6" hidden="1">ABORTEPOPTST!$A$18:$H$18</definedName>
    <definedName name="_xlnm._FilterDatabase" localSheetId="7" hidden="1">ABORTPWRUPOPTST!$A$18:$H$18</definedName>
    <definedName name="_xlnm._FilterDatabase" localSheetId="8" hidden="1">ACBE_GENTESTLOAD!$A$18:$H$18</definedName>
    <definedName name="_xlnm._FilterDatabase" localSheetId="9" hidden="1">ACBE_LOGIC!$A$18:$H$18</definedName>
    <definedName name="_xlnm._FilterDatabase" localSheetId="10" hidden="1">ACINTERLOCK!$A$18:$H$18</definedName>
    <definedName name="_xlnm._FilterDatabase" localSheetId="11" hidden="1">ADJATRUCCONTROL!$A$18:$H$18</definedName>
    <definedName name="_xlnm._FilterDatabase" localSheetId="12" hidden="1">ADJATUBUSSRCPRIORITY!$A$18:$H$18</definedName>
    <definedName name="_xlnm._FilterDatabase" localSheetId="13" hidden="1">ADJGCUUFAILSAFE!$A$18:$H$18</definedName>
    <definedName name="_xlnm._FilterDatabase" localSheetId="14" hidden="1">ADJL235BUSSRCPRIORITY!$A$18:$H$18</definedName>
    <definedName name="_xlnm._FilterDatabase" localSheetId="15" hidden="1">ADJR235BUSSRCPRIORITY!$A$18:$H$18</definedName>
    <definedName name="_xlnm._FilterDatabase" localSheetId="16" hidden="1">AEP_POWER_AVAILABILITY!$A$18:$H$18</definedName>
    <definedName name="_xlnm._FilterDatabase" localSheetId="17" hidden="1">AEPC!$A$18:$H$18</definedName>
    <definedName name="_xlnm._FilterDatabase" localSheetId="18" hidden="1">AEPCCHATTERPROTECTION!$A$18:$H$18</definedName>
    <definedName name="_xlnm._FilterDatabase" localSheetId="19" hidden="1">AEPCCONTROL!$A$18:$H$18</definedName>
    <definedName name="_xlnm._FilterDatabase" localSheetId="20" hidden="1">AEPCFTCPROTECTION!$A$18:$H$18</definedName>
    <definedName name="_xlnm._FilterDatabase" localSheetId="21" hidden="1">AEPRECPTLAMP!$A$18:$H$18</definedName>
    <definedName name="_xlnm._FilterDatabase" localSheetId="22" hidden="1">AEPSWTLAMP!$A$18:$H$18</definedName>
    <definedName name="_xlnm._FilterDatabase" localSheetId="23" hidden="1">AFSR_CALLBACK!$A$18:$H$18</definedName>
    <definedName name="_xlnm._FilterDatabase" localSheetId="24" hidden="1">AFTEPATRUHVDCUVPROT!$A$18:$H$18</definedName>
    <definedName name="_xlnm._FilterDatabase" localSheetId="25" hidden="1">AFTEPATRUOTPROT!$A$18:$H$18</definedName>
    <definedName name="_xlnm._FilterDatabase" localSheetId="26" hidden="1">AFTEPATRUSATURATION!$A$18:$H$18</definedName>
    <definedName name="_xlnm._FilterDatabase" localSheetId="27" hidden="1">AFTEPMAINTENANCE!$A$18:$H$18</definedName>
    <definedName name="_xlnm._FilterDatabase" localSheetId="28" hidden="1">AGCUOC2LOCKRESETS!$A$18:$H$18</definedName>
    <definedName name="_xlnm._FilterDatabase" localSheetId="29" hidden="1">AIR2GNDOPTST!$A$18:$H$18</definedName>
    <definedName name="_xlnm._FilterDatabase" localSheetId="30" hidden="1">AIR2GNDOPTSTMODE1!$A$18:$H$18</definedName>
    <definedName name="_xlnm._FilterDatabase" localSheetId="31" hidden="1">AIR2GNDOPTSTMODE1_HOTBATTERYFE!$A$18:$H$18</definedName>
    <definedName name="_xlnm._FilterDatabase" localSheetId="32" hidden="1">AIR2GNDOPTSTMODE2!$A$18:$H$18</definedName>
    <definedName name="_xlnm._FilterDatabase" localSheetId="33" hidden="1">AIR2GNDOPTSTMODE2_FAN1!$A$18:$H$18</definedName>
    <definedName name="_xlnm._FilterDatabase" localSheetId="34" hidden="1">AIR2GNDOPTSTMODE2_FAN2!$A$18:$H$18</definedName>
    <definedName name="_xlnm._FilterDatabase" localSheetId="35" hidden="1">AIR2GNDOPTSTTOPLEVEL!$A$18:$H$18</definedName>
    <definedName name="_xlnm._FilterDatabase" localSheetId="36" hidden="1">ANY_LRUFAILED!$A$18:$H$18</definedName>
    <definedName name="_xlnm._FilterDatabase" localSheetId="37" hidden="1">ASGENGSTART!$A$18:$H$18</definedName>
    <definedName name="_xlnm._FilterDatabase" localSheetId="38" hidden="1">ASGOC2ISOLATION!$A$18:$H$18</definedName>
    <definedName name="_xlnm._FilterDatabase" localSheetId="39" hidden="1">ASGOC2PROTECTION!$A$18:$H$18</definedName>
    <definedName name="_xlnm._FilterDatabase" localSheetId="40" hidden="1">ASGOCISOLATION!$A$18:$H$18</definedName>
    <definedName name="_xlnm._FilterDatabase" localSheetId="41" hidden="1">ASGOCPROTECTION!$A$18:$H$18</definedName>
    <definedName name="_xlnm._FilterDatabase" localSheetId="42" hidden="1">ASGOF1PROTECTION!$A$18:$H$18</definedName>
    <definedName name="_xlnm._FilterDatabase" localSheetId="43" hidden="1">ASGOF2PROTECTION!$A$18:$H$18</definedName>
    <definedName name="_xlnm._FilterDatabase" localSheetId="44" hidden="1">ASGSRDFAILSAFEPROTECTION!$A$18:$H$18</definedName>
    <definedName name="_xlnm._FilterDatabase" localSheetId="45" hidden="1">ASGUFPROTECTION!$A$18:$H$18</definedName>
    <definedName name="_xlnm._FilterDatabase" localSheetId="46" hidden="1">ASGUNDERSPEED!$A$18:$H$18</definedName>
    <definedName name="_xlnm._FilterDatabase" localSheetId="47" hidden="1">ASGUSCYCLING!$A$18:$H$18</definedName>
    <definedName name="_xlnm._FilterDatabase" localSheetId="48" hidden="1">ASGUV2PROTECTION!$A$18:$H$18</definedName>
    <definedName name="_xlnm._FilterDatabase" localSheetId="49" hidden="1">ATRUC!$A$18:$H$18</definedName>
    <definedName name="_xlnm._FilterDatabase" localSheetId="50" hidden="1">ATRUCFTCPROTECTION!$A$18:$H$18</definedName>
    <definedName name="_xlnm._FilterDatabase" localSheetId="51" hidden="1">ATRUCFTO!$A$18:$H$18</definedName>
    <definedName name="_xlnm._FilterDatabase" localSheetId="52" hidden="1">ATRUCPROTTRIPRQST!$A$18:$H$18</definedName>
    <definedName name="_xlnm._FilterDatabase" localSheetId="53" hidden="1">ATRUMAINTENANCE!$A$18:$H$18</definedName>
    <definedName name="_xlnm._FilterDatabase" localSheetId="54" hidden="1">ATRURIPPLE1PROT!$A$18:$H$18</definedName>
    <definedName name="_xlnm._FilterDatabase" localSheetId="55" hidden="1">ATRURIPPLE2PROT!$A$18:$H$18</definedName>
    <definedName name="_xlnm._FilterDatabase" localSheetId="56" hidden="1">ATRURIPPLEPROT!$A$18:$H$18</definedName>
    <definedName name="_xlnm._FilterDatabase" localSheetId="57" hidden="1">ATRUUNBVOLTPROT!$A$18:$H$18</definedName>
    <definedName name="_xlnm._FilterDatabase" localSheetId="58" hidden="1">ATUC!$A$18:$H$18</definedName>
    <definedName name="_xlnm._FilterDatabase" localSheetId="59" hidden="1">ATUCFTCPROTECTION!$A$18:$H$18</definedName>
    <definedName name="_xlnm._FilterDatabase" localSheetId="60" hidden="1">ATUCFTO1!$A$18:$H$18</definedName>
    <definedName name="_xlnm._FilterDatabase" localSheetId="61" hidden="1">ATUCFTO2!$A$18:$H$18</definedName>
    <definedName name="_xlnm._FilterDatabase" localSheetId="62" hidden="1">ATUCFTO3!$A$18:$H$18</definedName>
    <definedName name="_xlnm._FilterDatabase" localSheetId="63" hidden="1">BBRLY!$A$18:$H$18</definedName>
    <definedName name="_xlnm._FilterDatabase" localSheetId="64" hidden="1">BBRLYFTCPROTECTION!$A$18:$H$18</definedName>
    <definedName name="_xlnm._FilterDatabase" localSheetId="65" hidden="1">BBRLYFTO!$A$18:$H$18</definedName>
    <definedName name="_xlnm._FilterDatabase" localSheetId="66" hidden="1">BEARINGROTORPROTECTION!$A$18:$H$18</definedName>
    <definedName name="_xlnm._FilterDatabase" localSheetId="67" hidden="1">BITE_EXECUTIVE!$A$18:$H$18</definedName>
    <definedName name="_xlnm._FilterDatabase" localSheetId="68" hidden="1">BITE_HOOKS_AND_HANDLES!$A$18:$H$18</definedName>
    <definedName name="_xlnm._FilterDatabase" localSheetId="69" hidden="1">BITE_IO!$A$18:$H$18</definedName>
    <definedName name="_xlnm._FilterDatabase" localSheetId="70" hidden="1">BITE_UPDATE_DESIGN_NOTES!$A$18:$H$18</definedName>
    <definedName name="_xlnm._FilterDatabase" localSheetId="71" hidden="1">BITE_UPDATE_SOFTWARE_HOOKS_OTH!$A$18:$H$18</definedName>
    <definedName name="_xlnm._FilterDatabase" localSheetId="72" hidden="1">BUSATRUPROTECTION!$A$18:$H$18</definedName>
    <definedName name="_xlnm._FilterDatabase" localSheetId="73" hidden="1">BUSOFFMAINTENANCE!$A$18:$H$18</definedName>
    <definedName name="_xlnm._FilterDatabase" localSheetId="74" hidden="1">BUSSYNOPTICS!$A$18:$H$18</definedName>
    <definedName name="_xlnm._FilterDatabase" localSheetId="75" hidden="1">BUSUVPROTECTON!$A$18:$H$18</definedName>
    <definedName name="_xlnm._FilterDatabase" localSheetId="76" hidden="1">CALCULATE_PMGFREQUENCY!$A$18:$H$18</definedName>
    <definedName name="_xlnm._FilterDatabase" localSheetId="77" hidden="1">CHATTERPROTECTION!$A$18:$H$18</definedName>
    <definedName name="_xlnm._FilterDatabase" localSheetId="78" hidden="1">CMSCINITIATEDOPTST!$A$18:$H$18</definedName>
    <definedName name="_xlnm._FilterDatabase" localSheetId="79" hidden="1">CMSCINITIATEDOPTST_ATRUCCACTRI!$A$18:$H$18</definedName>
    <definedName name="_xlnm._FilterDatabase" localSheetId="80" hidden="1">CMSCINITIATEDOPTST_ATRUCEMPTRI!$A$18:$H$18</definedName>
    <definedName name="_xlnm._FilterDatabase" localSheetId="81" hidden="1">CMSCINITIATEDOPTST_STARTCONTAC!$A$18:$H$18</definedName>
    <definedName name="_xlnm._FilterDatabase" localSheetId="82" hidden="1">CMSCINITIATEDOPTSTTOPLEVEL!$A$18:$H$18</definedName>
    <definedName name="_xlnm._FilterDatabase" localSheetId="83" hidden="1">CMSCSAFEINLKPROT!$A$18:$H$18</definedName>
    <definedName name="_xlnm._FilterDatabase" localSheetId="85" hidden="1">CONDITIONFIXEDTD!$A$18:$H$18</definedName>
    <definedName name="_xlnm._FilterDatabase" localSheetId="86" hidden="1">CONDITIONFIXEDTDWITHINHIBIT!$A$18:$H$18</definedName>
    <definedName name="_xlnm._FilterDatabase" localSheetId="84" hidden="1">CONTACTORPROTCOORD!$A$18:$H$18</definedName>
    <definedName name="_xlnm._FilterDatabase" localSheetId="87" hidden="1">DCCONTENTPROTECTION!$A$18:$H$18</definedName>
    <definedName name="_xlnm._FilterDatabase" localSheetId="88" hidden="1">DCLINKMONPROTECTION!$A$18:$H$18</definedName>
    <definedName name="_xlnm._FilterDatabase" localSheetId="89" hidden="1">DEBOUNCE_OWN235BUSRAWTARSRC!$A$18:$H$18</definedName>
    <definedName name="_xlnm._FilterDatabase" localSheetId="90" hidden="1">DETERMINE_AIRCRAFTMODE!$A$18:$H$18</definedName>
    <definedName name="_xlnm._FilterDatabase" localSheetId="91" hidden="1">DETERMINE_AIRCRAFTMODE_LIBRARY!$A$18:$H$18</definedName>
    <definedName name="_xlnm._FilterDatabase" localSheetId="92" hidden="1">DETERMINE_OVTPUFAULT!$A$18:$H$18</definedName>
    <definedName name="_xlnm._FilterDatabase" localSheetId="93" hidden="1">DPPROTECTION!$A$18:$H$18</definedName>
    <definedName name="_xlnm._FilterDatabase" localSheetId="94" hidden="1">DUALASGCONTROL!$A$18:$H$18</definedName>
    <definedName name="_xlnm._FilterDatabase" localSheetId="95" hidden="1">DUALASGMODE!$A$18:$H$18</definedName>
    <definedName name="_xlnm._FilterDatabase" localSheetId="2" hidden="1">Template!$A$18:$H$18</definedName>
    <definedName name="Action_Resolution" localSheetId="4">#REF!</definedName>
    <definedName name="Action_Resolution" localSheetId="5">#REF!</definedName>
    <definedName name="Action_Resolution" localSheetId="6">#REF!</definedName>
    <definedName name="Action_Resolution" localSheetId="7">#REF!</definedName>
    <definedName name="Action_Resolution" localSheetId="8">#REF!</definedName>
    <definedName name="Action_Resolution" localSheetId="9">#REF!</definedName>
    <definedName name="Action_Resolution" localSheetId="10">#REF!</definedName>
    <definedName name="Action_Resolution" localSheetId="11">#REF!</definedName>
    <definedName name="Action_Resolution" localSheetId="12">#REF!</definedName>
    <definedName name="Action_Resolution" localSheetId="13">#REF!</definedName>
    <definedName name="Action_Resolution" localSheetId="14">#REF!</definedName>
    <definedName name="Action_Resolution" localSheetId="15">#REF!</definedName>
    <definedName name="Action_Resolution" localSheetId="16">#REF!</definedName>
    <definedName name="Action_Resolution" localSheetId="17">#REF!</definedName>
    <definedName name="Action_Resolution" localSheetId="18">#REF!</definedName>
    <definedName name="Action_Resolution" localSheetId="19">#REF!</definedName>
    <definedName name="Action_Resolution" localSheetId="20">#REF!</definedName>
    <definedName name="Action_Resolution" localSheetId="21">#REF!</definedName>
    <definedName name="Action_Resolution" localSheetId="22">#REF!</definedName>
    <definedName name="Action_Resolution" localSheetId="23">#REF!</definedName>
    <definedName name="Action_Resolution" localSheetId="24">#REF!</definedName>
    <definedName name="Action_Resolution" localSheetId="25">#REF!</definedName>
    <definedName name="Action_Resolution" localSheetId="26">#REF!</definedName>
    <definedName name="Action_Resolution" localSheetId="27">#REF!</definedName>
    <definedName name="Action_Resolution" localSheetId="28">#REF!</definedName>
    <definedName name="Action_Resolution" localSheetId="29">#REF!</definedName>
    <definedName name="Action_Resolution" localSheetId="30">#REF!</definedName>
    <definedName name="Action_Resolution" localSheetId="31">#REF!</definedName>
    <definedName name="Action_Resolution" localSheetId="32">#REF!</definedName>
    <definedName name="Action_Resolution" localSheetId="33">#REF!</definedName>
    <definedName name="Action_Resolution" localSheetId="34">#REF!</definedName>
    <definedName name="Action_Resolution" localSheetId="35">#REF!</definedName>
    <definedName name="Action_Resolution" localSheetId="36">#REF!</definedName>
    <definedName name="Action_Resolution" localSheetId="37">#REF!</definedName>
    <definedName name="Action_Resolution" localSheetId="38">#REF!</definedName>
    <definedName name="Action_Resolution" localSheetId="39">#REF!</definedName>
    <definedName name="Action_Resolution" localSheetId="40">#REF!</definedName>
    <definedName name="Action_Resolution" localSheetId="41">#REF!</definedName>
    <definedName name="Action_Resolution" localSheetId="42">#REF!</definedName>
    <definedName name="Action_Resolution" localSheetId="43">#REF!</definedName>
    <definedName name="Action_Resolution" localSheetId="44">#REF!</definedName>
    <definedName name="Action_Resolution" localSheetId="45">#REF!</definedName>
    <definedName name="Action_Resolution" localSheetId="46">#REF!</definedName>
    <definedName name="Action_Resolution" localSheetId="47">#REF!</definedName>
    <definedName name="Action_Resolution" localSheetId="48">#REF!</definedName>
    <definedName name="Action_Resolution" localSheetId="49">#REF!</definedName>
    <definedName name="Action_Resolution" localSheetId="50">#REF!</definedName>
    <definedName name="Action_Resolution" localSheetId="51">#REF!</definedName>
    <definedName name="Action_Resolution" localSheetId="52">#REF!</definedName>
    <definedName name="Action_Resolution" localSheetId="53">#REF!</definedName>
    <definedName name="Action_Resolution" localSheetId="54">#REF!</definedName>
    <definedName name="Action_Resolution" localSheetId="55">#REF!</definedName>
    <definedName name="Action_Resolution" localSheetId="56">#REF!</definedName>
    <definedName name="Action_Resolution" localSheetId="57">#REF!</definedName>
    <definedName name="Action_Resolution" localSheetId="58">#REF!</definedName>
    <definedName name="Action_Resolution" localSheetId="59">#REF!</definedName>
    <definedName name="Action_Resolution" localSheetId="60">#REF!</definedName>
    <definedName name="Action_Resolution" localSheetId="61">#REF!</definedName>
    <definedName name="Action_Resolution" localSheetId="62">#REF!</definedName>
    <definedName name="Action_Resolution" localSheetId="63">#REF!</definedName>
    <definedName name="Action_Resolution" localSheetId="64">#REF!</definedName>
    <definedName name="Action_Resolution" localSheetId="65">#REF!</definedName>
    <definedName name="Action_Resolution" localSheetId="66">#REF!</definedName>
    <definedName name="Action_Resolution" localSheetId="67">#REF!</definedName>
    <definedName name="Action_Resolution" localSheetId="68">#REF!</definedName>
    <definedName name="Action_Resolution" localSheetId="69">#REF!</definedName>
    <definedName name="Action_Resolution" localSheetId="70">#REF!</definedName>
    <definedName name="Action_Resolution" localSheetId="71">#REF!</definedName>
    <definedName name="Action_Resolution" localSheetId="72">#REF!</definedName>
    <definedName name="Action_Resolution" localSheetId="73">#REF!</definedName>
    <definedName name="Action_Resolution" localSheetId="74">#REF!</definedName>
    <definedName name="Action_Resolution" localSheetId="75">#REF!</definedName>
    <definedName name="Action_Resolution" localSheetId="76">#REF!</definedName>
    <definedName name="Action_Resolution" localSheetId="77">#REF!</definedName>
    <definedName name="Action_Resolution" localSheetId="78">#REF!</definedName>
    <definedName name="Action_Resolution" localSheetId="79">#REF!</definedName>
    <definedName name="Action_Resolution" localSheetId="80">#REF!</definedName>
    <definedName name="Action_Resolution" localSheetId="81">#REF!</definedName>
    <definedName name="Action_Resolution" localSheetId="82">#REF!</definedName>
    <definedName name="Action_Resolution" localSheetId="83">#REF!</definedName>
    <definedName name="Action_Resolution" localSheetId="85">#REF!</definedName>
    <definedName name="Action_Resolution" localSheetId="86">#REF!</definedName>
    <definedName name="Action_Resolution" localSheetId="84">#REF!</definedName>
    <definedName name="Action_Resolution" localSheetId="87">#REF!</definedName>
    <definedName name="Action_Resolution" localSheetId="88">#REF!</definedName>
    <definedName name="Action_Resolution" localSheetId="89">#REF!</definedName>
    <definedName name="Action_Resolution" localSheetId="90">#REF!</definedName>
    <definedName name="Action_Resolution" localSheetId="91">#REF!</definedName>
    <definedName name="Action_Resolution" localSheetId="92">#REF!</definedName>
    <definedName name="Action_Resolution" localSheetId="93">#REF!</definedName>
    <definedName name="Action_Resolution" localSheetId="94">#REF!</definedName>
    <definedName name="Action_Resolution" localSheetId="95">#REF!</definedName>
    <definedName name="Action_Resolution">#REF!</definedName>
    <definedName name="Supp_Status" localSheetId="4">#REF!</definedName>
    <definedName name="Supp_Status" localSheetId="5">#REF!</definedName>
    <definedName name="Supp_Status" localSheetId="6">#REF!</definedName>
    <definedName name="Supp_Status" localSheetId="7">#REF!</definedName>
    <definedName name="Supp_Status" localSheetId="8">#REF!</definedName>
    <definedName name="Supp_Status" localSheetId="9">#REF!</definedName>
    <definedName name="Supp_Status" localSheetId="10">#REF!</definedName>
    <definedName name="Supp_Status" localSheetId="11">#REF!</definedName>
    <definedName name="Supp_Status" localSheetId="12">#REF!</definedName>
    <definedName name="Supp_Status" localSheetId="13">#REF!</definedName>
    <definedName name="Supp_Status" localSheetId="14">#REF!</definedName>
    <definedName name="Supp_Status" localSheetId="15">#REF!</definedName>
    <definedName name="Supp_Status" localSheetId="16">#REF!</definedName>
    <definedName name="Supp_Status" localSheetId="17">#REF!</definedName>
    <definedName name="Supp_Status" localSheetId="18">#REF!</definedName>
    <definedName name="Supp_Status" localSheetId="19">#REF!</definedName>
    <definedName name="Supp_Status" localSheetId="20">#REF!</definedName>
    <definedName name="Supp_Status" localSheetId="21">#REF!</definedName>
    <definedName name="Supp_Status" localSheetId="22">#REF!</definedName>
    <definedName name="Supp_Status" localSheetId="23">#REF!</definedName>
    <definedName name="Supp_Status" localSheetId="24">#REF!</definedName>
    <definedName name="Supp_Status" localSheetId="25">#REF!</definedName>
    <definedName name="Supp_Status" localSheetId="26">#REF!</definedName>
    <definedName name="Supp_Status" localSheetId="27">#REF!</definedName>
    <definedName name="Supp_Status" localSheetId="28">#REF!</definedName>
    <definedName name="Supp_Status" localSheetId="29">#REF!</definedName>
    <definedName name="Supp_Status" localSheetId="30">#REF!</definedName>
    <definedName name="Supp_Status" localSheetId="31">#REF!</definedName>
    <definedName name="Supp_Status" localSheetId="32">#REF!</definedName>
    <definedName name="Supp_Status" localSheetId="33">#REF!</definedName>
    <definedName name="Supp_Status" localSheetId="34">#REF!</definedName>
    <definedName name="Supp_Status" localSheetId="35">#REF!</definedName>
    <definedName name="Supp_Status" localSheetId="36">#REF!</definedName>
    <definedName name="Supp_Status" localSheetId="37">#REF!</definedName>
    <definedName name="Supp_Status" localSheetId="38">#REF!</definedName>
    <definedName name="Supp_Status" localSheetId="39">#REF!</definedName>
    <definedName name="Supp_Status" localSheetId="40">#REF!</definedName>
    <definedName name="Supp_Status" localSheetId="41">#REF!</definedName>
    <definedName name="Supp_Status" localSheetId="42">#REF!</definedName>
    <definedName name="Supp_Status" localSheetId="43">#REF!</definedName>
    <definedName name="Supp_Status" localSheetId="44">#REF!</definedName>
    <definedName name="Supp_Status" localSheetId="45">#REF!</definedName>
    <definedName name="Supp_Status" localSheetId="46">#REF!</definedName>
    <definedName name="Supp_Status" localSheetId="47">#REF!</definedName>
    <definedName name="Supp_Status" localSheetId="48">#REF!</definedName>
    <definedName name="Supp_Status" localSheetId="49">#REF!</definedName>
    <definedName name="Supp_Status" localSheetId="50">#REF!</definedName>
    <definedName name="Supp_Status" localSheetId="51">#REF!</definedName>
    <definedName name="Supp_Status" localSheetId="52">#REF!</definedName>
    <definedName name="Supp_Status" localSheetId="53">#REF!</definedName>
    <definedName name="Supp_Status" localSheetId="54">#REF!</definedName>
    <definedName name="Supp_Status" localSheetId="55">#REF!</definedName>
    <definedName name="Supp_Status" localSheetId="56">#REF!</definedName>
    <definedName name="Supp_Status" localSheetId="57">#REF!</definedName>
    <definedName name="Supp_Status" localSheetId="58">#REF!</definedName>
    <definedName name="Supp_Status" localSheetId="59">#REF!</definedName>
    <definedName name="Supp_Status" localSheetId="60">#REF!</definedName>
    <definedName name="Supp_Status" localSheetId="61">#REF!</definedName>
    <definedName name="Supp_Status" localSheetId="62">#REF!</definedName>
    <definedName name="Supp_Status" localSheetId="63">#REF!</definedName>
    <definedName name="Supp_Status" localSheetId="64">#REF!</definedName>
    <definedName name="Supp_Status" localSheetId="65">#REF!</definedName>
    <definedName name="Supp_Status" localSheetId="66">#REF!</definedName>
    <definedName name="Supp_Status" localSheetId="67">#REF!</definedName>
    <definedName name="Supp_Status" localSheetId="68">#REF!</definedName>
    <definedName name="Supp_Status" localSheetId="69">#REF!</definedName>
    <definedName name="Supp_Status" localSheetId="70">#REF!</definedName>
    <definedName name="Supp_Status" localSheetId="71">#REF!</definedName>
    <definedName name="Supp_Status" localSheetId="72">#REF!</definedName>
    <definedName name="Supp_Status" localSheetId="73">#REF!</definedName>
    <definedName name="Supp_Status" localSheetId="74">#REF!</definedName>
    <definedName name="Supp_Status" localSheetId="75">#REF!</definedName>
    <definedName name="Supp_Status" localSheetId="76">#REF!</definedName>
    <definedName name="Supp_Status" localSheetId="77">#REF!</definedName>
    <definedName name="Supp_Status" localSheetId="78">#REF!</definedName>
    <definedName name="Supp_Status" localSheetId="79">#REF!</definedName>
    <definedName name="Supp_Status" localSheetId="80">#REF!</definedName>
    <definedName name="Supp_Status" localSheetId="81">#REF!</definedName>
    <definedName name="Supp_Status" localSheetId="82">#REF!</definedName>
    <definedName name="Supp_Status" localSheetId="83">#REF!</definedName>
    <definedName name="Supp_Status" localSheetId="85">#REF!</definedName>
    <definedName name="Supp_Status" localSheetId="86">#REF!</definedName>
    <definedName name="Supp_Status" localSheetId="84">#REF!</definedName>
    <definedName name="Supp_Status" localSheetId="87">#REF!</definedName>
    <definedName name="Supp_Status" localSheetId="88">#REF!</definedName>
    <definedName name="Supp_Status" localSheetId="89">#REF!</definedName>
    <definedName name="Supp_Status" localSheetId="90">#REF!</definedName>
    <definedName name="Supp_Status" localSheetId="91">#REF!</definedName>
    <definedName name="Supp_Status" localSheetId="92">#REF!</definedName>
    <definedName name="Supp_Status" localSheetId="93">#REF!</definedName>
    <definedName name="Supp_Status" localSheetId="94">#REF!</definedName>
    <definedName name="Supp_Status" localSheetId="95">#REF!</definedName>
    <definedName name="Supp_Status">#REF!</definedName>
  </definedNames>
  <calcPr calcId="152511"/>
</workbook>
</file>

<file path=xl/calcChain.xml><?xml version="1.0" encoding="utf-8"?>
<calcChain xmlns="http://schemas.openxmlformats.org/spreadsheetml/2006/main">
  <c r="C16" i="323" l="1"/>
  <c r="C15" i="323"/>
  <c r="C14" i="323"/>
  <c r="C13" i="323"/>
  <c r="C12" i="323"/>
  <c r="C11" i="323"/>
  <c r="C5" i="323"/>
  <c r="B5" i="323"/>
  <c r="C4" i="323"/>
  <c r="B4" i="323"/>
  <c r="C3" i="323"/>
  <c r="B3" i="323"/>
  <c r="C2" i="323"/>
  <c r="B2" i="323"/>
  <c r="C7" i="323" l="1"/>
  <c r="B7" i="323"/>
  <c r="C17" i="323"/>
  <c r="B10" i="323" l="1"/>
  <c r="C16" i="305" l="1"/>
  <c r="C15" i="305"/>
  <c r="C14" i="305"/>
  <c r="C13" i="305"/>
  <c r="C12" i="305"/>
  <c r="C11" i="305"/>
  <c r="C5" i="305"/>
  <c r="B5" i="305"/>
  <c r="C4" i="305"/>
  <c r="B4" i="305"/>
  <c r="C3" i="305"/>
  <c r="B3" i="305"/>
  <c r="C2" i="305"/>
  <c r="B2" i="305"/>
  <c r="C16" i="306"/>
  <c r="C15" i="306"/>
  <c r="C14" i="306"/>
  <c r="C13" i="306"/>
  <c r="C12" i="306"/>
  <c r="C11" i="306"/>
  <c r="C5" i="306"/>
  <c r="B5" i="306"/>
  <c r="C4" i="306"/>
  <c r="B4" i="306"/>
  <c r="C3" i="306"/>
  <c r="B3" i="306"/>
  <c r="C2" i="306"/>
  <c r="B2" i="306"/>
  <c r="C16" i="322"/>
  <c r="C15" i="322"/>
  <c r="C14" i="322"/>
  <c r="C13" i="322"/>
  <c r="C12" i="322"/>
  <c r="C11" i="322"/>
  <c r="C5" i="322"/>
  <c r="B5" i="322"/>
  <c r="C4" i="322"/>
  <c r="B4" i="322"/>
  <c r="C3" i="322"/>
  <c r="B3" i="322"/>
  <c r="C2" i="322"/>
  <c r="B2" i="322"/>
  <c r="B7" i="306" l="1"/>
  <c r="C17" i="306"/>
  <c r="C7" i="306"/>
  <c r="C7" i="322"/>
  <c r="C7" i="305"/>
  <c r="B7" i="322"/>
  <c r="C17" i="322"/>
  <c r="B7" i="305"/>
  <c r="C17" i="305"/>
  <c r="C16" i="321"/>
  <c r="C15" i="321"/>
  <c r="C14" i="321"/>
  <c r="C13" i="321"/>
  <c r="C12" i="321"/>
  <c r="C11" i="321"/>
  <c r="C5" i="321"/>
  <c r="B5" i="321"/>
  <c r="C4" i="321"/>
  <c r="B4" i="321"/>
  <c r="C3" i="321"/>
  <c r="B3" i="321"/>
  <c r="C2" i="321"/>
  <c r="B2" i="321"/>
  <c r="C16" i="320"/>
  <c r="C15" i="320"/>
  <c r="C14" i="320"/>
  <c r="C13" i="320"/>
  <c r="C12" i="320"/>
  <c r="C11" i="320"/>
  <c r="C5" i="320"/>
  <c r="B5" i="320"/>
  <c r="C4" i="320"/>
  <c r="B4" i="320"/>
  <c r="C3" i="320"/>
  <c r="B3" i="320"/>
  <c r="C2" i="320"/>
  <c r="B2" i="320"/>
  <c r="C16" i="319"/>
  <c r="C15" i="319"/>
  <c r="C14" i="319"/>
  <c r="C13" i="319"/>
  <c r="C12" i="319"/>
  <c r="C11" i="319"/>
  <c r="C5" i="319"/>
  <c r="B5" i="319"/>
  <c r="C4" i="319"/>
  <c r="B4" i="319"/>
  <c r="C3" i="319"/>
  <c r="B3" i="319"/>
  <c r="C2" i="319"/>
  <c r="B2" i="319"/>
  <c r="C16" i="318"/>
  <c r="C15" i="318"/>
  <c r="C14" i="318"/>
  <c r="C13" i="318"/>
  <c r="C12" i="318"/>
  <c r="C11" i="318"/>
  <c r="C5" i="318"/>
  <c r="B5" i="318"/>
  <c r="C4" i="318"/>
  <c r="B4" i="318"/>
  <c r="C3" i="318"/>
  <c r="B3" i="318"/>
  <c r="C2" i="318"/>
  <c r="B2" i="318"/>
  <c r="C16" i="317"/>
  <c r="C15" i="317"/>
  <c r="C14" i="317"/>
  <c r="C13" i="317"/>
  <c r="C12" i="317"/>
  <c r="C11" i="317"/>
  <c r="C5" i="317"/>
  <c r="B5" i="317"/>
  <c r="C4" i="317"/>
  <c r="B4" i="317"/>
  <c r="C3" i="317"/>
  <c r="B3" i="317"/>
  <c r="C2" i="317"/>
  <c r="B2" i="317"/>
  <c r="C16" i="316"/>
  <c r="C15" i="316"/>
  <c r="C14" i="316"/>
  <c r="C13" i="316"/>
  <c r="C12" i="316"/>
  <c r="C11" i="316"/>
  <c r="C5" i="316"/>
  <c r="B5" i="316"/>
  <c r="C4" i="316"/>
  <c r="B4" i="316"/>
  <c r="C3" i="316"/>
  <c r="B3" i="316"/>
  <c r="C2" i="316"/>
  <c r="B2" i="316"/>
  <c r="C16" i="315"/>
  <c r="C15" i="315"/>
  <c r="C14" i="315"/>
  <c r="C13" i="315"/>
  <c r="C12" i="315"/>
  <c r="C11" i="315"/>
  <c r="C5" i="315"/>
  <c r="B5" i="315"/>
  <c r="C4" i="315"/>
  <c r="B4" i="315"/>
  <c r="C3" i="315"/>
  <c r="B3" i="315"/>
  <c r="C2" i="315"/>
  <c r="B2" i="315"/>
  <c r="C16" i="314"/>
  <c r="C15" i="314"/>
  <c r="C14" i="314"/>
  <c r="C13" i="314"/>
  <c r="C12" i="314"/>
  <c r="C11" i="314"/>
  <c r="C5" i="314"/>
  <c r="B5" i="314"/>
  <c r="C4" i="314"/>
  <c r="B4" i="314"/>
  <c r="C3" i="314"/>
  <c r="B3" i="314"/>
  <c r="C2" i="314"/>
  <c r="B2" i="314"/>
  <c r="C16" i="313"/>
  <c r="C15" i="313"/>
  <c r="C14" i="313"/>
  <c r="C13" i="313"/>
  <c r="C12" i="313"/>
  <c r="C11" i="313"/>
  <c r="C5" i="313"/>
  <c r="B5" i="313"/>
  <c r="C4" i="313"/>
  <c r="B4" i="313"/>
  <c r="C3" i="313"/>
  <c r="B3" i="313"/>
  <c r="C2" i="313"/>
  <c r="B2" i="313"/>
  <c r="C16" i="312"/>
  <c r="C15" i="312"/>
  <c r="C14" i="312"/>
  <c r="C13" i="312"/>
  <c r="C12" i="312"/>
  <c r="C11" i="312"/>
  <c r="C5" i="312"/>
  <c r="B5" i="312"/>
  <c r="C4" i="312"/>
  <c r="B4" i="312"/>
  <c r="C3" i="312"/>
  <c r="B3" i="312"/>
  <c r="C2" i="312"/>
  <c r="B2" i="312"/>
  <c r="C16" i="311"/>
  <c r="C15" i="311"/>
  <c r="C14" i="311"/>
  <c r="C13" i="311"/>
  <c r="C12" i="311"/>
  <c r="C11" i="311"/>
  <c r="C5" i="311"/>
  <c r="B5" i="311"/>
  <c r="C4" i="311"/>
  <c r="B4" i="311"/>
  <c r="C3" i="311"/>
  <c r="B3" i="311"/>
  <c r="C2" i="311"/>
  <c r="B2" i="311"/>
  <c r="C16" i="310"/>
  <c r="C15" i="310"/>
  <c r="C14" i="310"/>
  <c r="C13" i="310"/>
  <c r="C12" i="310"/>
  <c r="C11" i="310"/>
  <c r="C5" i="310"/>
  <c r="B5" i="310"/>
  <c r="C4" i="310"/>
  <c r="B4" i="310"/>
  <c r="C3" i="310"/>
  <c r="B3" i="310"/>
  <c r="C2" i="310"/>
  <c r="B2" i="310"/>
  <c r="C16" i="309"/>
  <c r="C15" i="309"/>
  <c r="C14" i="309"/>
  <c r="C13" i="309"/>
  <c r="C12" i="309"/>
  <c r="C11" i="309"/>
  <c r="C5" i="309"/>
  <c r="B5" i="309"/>
  <c r="C4" i="309"/>
  <c r="B4" i="309"/>
  <c r="C3" i="309"/>
  <c r="B3" i="309"/>
  <c r="C2" i="309"/>
  <c r="B2" i="309"/>
  <c r="C16" i="308"/>
  <c r="C15" i="308"/>
  <c r="C14" i="308"/>
  <c r="C13" i="308"/>
  <c r="C12" i="308"/>
  <c r="C11" i="308"/>
  <c r="C5" i="308"/>
  <c r="B5" i="308"/>
  <c r="C4" i="308"/>
  <c r="B4" i="308"/>
  <c r="C3" i="308"/>
  <c r="B3" i="308"/>
  <c r="C2" i="308"/>
  <c r="B2" i="308"/>
  <c r="C16" i="304"/>
  <c r="C15" i="304"/>
  <c r="C14" i="304"/>
  <c r="C13" i="304"/>
  <c r="C12" i="304"/>
  <c r="C11" i="304"/>
  <c r="C5" i="304"/>
  <c r="B5" i="304"/>
  <c r="C4" i="304"/>
  <c r="B4" i="304"/>
  <c r="C3" i="304"/>
  <c r="B3" i="304"/>
  <c r="C2" i="304"/>
  <c r="B2" i="304"/>
  <c r="C16" i="303"/>
  <c r="C15" i="303"/>
  <c r="C14" i="303"/>
  <c r="C13" i="303"/>
  <c r="C12" i="303"/>
  <c r="C11" i="303"/>
  <c r="C5" i="303"/>
  <c r="B5" i="303"/>
  <c r="C4" i="303"/>
  <c r="B4" i="303"/>
  <c r="C3" i="303"/>
  <c r="B3" i="303"/>
  <c r="C2" i="303"/>
  <c r="B2" i="303"/>
  <c r="C16" i="302"/>
  <c r="C15" i="302"/>
  <c r="C14" i="302"/>
  <c r="C13" i="302"/>
  <c r="C12" i="302"/>
  <c r="C11" i="302"/>
  <c r="C5" i="302"/>
  <c r="B5" i="302"/>
  <c r="C4" i="302"/>
  <c r="B4" i="302"/>
  <c r="C3" i="302"/>
  <c r="B3" i="302"/>
  <c r="C2" i="302"/>
  <c r="B2" i="302"/>
  <c r="C16" i="301"/>
  <c r="C15" i="301"/>
  <c r="C14" i="301"/>
  <c r="C13" i="301"/>
  <c r="C12" i="301"/>
  <c r="C11" i="301"/>
  <c r="C5" i="301"/>
  <c r="B5" i="301"/>
  <c r="C4" i="301"/>
  <c r="B4" i="301"/>
  <c r="C3" i="301"/>
  <c r="B3" i="301"/>
  <c r="C2" i="301"/>
  <c r="B2" i="301"/>
  <c r="C16" i="300"/>
  <c r="C15" i="300"/>
  <c r="C14" i="300"/>
  <c r="C13" i="300"/>
  <c r="C12" i="300"/>
  <c r="C11" i="300"/>
  <c r="C5" i="300"/>
  <c r="B5" i="300"/>
  <c r="C4" i="300"/>
  <c r="B4" i="300"/>
  <c r="C3" i="300"/>
  <c r="B3" i="300"/>
  <c r="C2" i="300"/>
  <c r="B2" i="300"/>
  <c r="C16" i="299"/>
  <c r="C15" i="299"/>
  <c r="C14" i="299"/>
  <c r="C13" i="299"/>
  <c r="C12" i="299"/>
  <c r="C11" i="299"/>
  <c r="C5" i="299"/>
  <c r="B5" i="299"/>
  <c r="C4" i="299"/>
  <c r="B4" i="299"/>
  <c r="C3" i="299"/>
  <c r="B3" i="299"/>
  <c r="C2" i="299"/>
  <c r="B2" i="299"/>
  <c r="C16" i="298"/>
  <c r="C15" i="298"/>
  <c r="C14" i="298"/>
  <c r="C13" i="298"/>
  <c r="C12" i="298"/>
  <c r="C11" i="298"/>
  <c r="C5" i="298"/>
  <c r="B5" i="298"/>
  <c r="C4" i="298"/>
  <c r="B4" i="298"/>
  <c r="C3" i="298"/>
  <c r="B3" i="298"/>
  <c r="C2" i="298"/>
  <c r="B2" i="298"/>
  <c r="C16" i="297"/>
  <c r="C15" i="297"/>
  <c r="C14" i="297"/>
  <c r="C13" i="297"/>
  <c r="C12" i="297"/>
  <c r="C11" i="297"/>
  <c r="C5" i="297"/>
  <c r="B5" i="297"/>
  <c r="C4" i="297"/>
  <c r="B4" i="297"/>
  <c r="C3" i="297"/>
  <c r="B3" i="297"/>
  <c r="C2" i="297"/>
  <c r="B2" i="297"/>
  <c r="C16" i="296"/>
  <c r="C15" i="296"/>
  <c r="C14" i="296"/>
  <c r="C13" i="296"/>
  <c r="C12" i="296"/>
  <c r="C11" i="296"/>
  <c r="C5" i="296"/>
  <c r="B5" i="296"/>
  <c r="C4" i="296"/>
  <c r="B4" i="296"/>
  <c r="C3" i="296"/>
  <c r="B3" i="296"/>
  <c r="C2" i="296"/>
  <c r="B2" i="296"/>
  <c r="C16" i="295"/>
  <c r="C15" i="295"/>
  <c r="C14" i="295"/>
  <c r="C13" i="295"/>
  <c r="C12" i="295"/>
  <c r="C11" i="295"/>
  <c r="C5" i="295"/>
  <c r="B5" i="295"/>
  <c r="C4" i="295"/>
  <c r="B4" i="295"/>
  <c r="C3" i="295"/>
  <c r="B3" i="295"/>
  <c r="C2" i="295"/>
  <c r="B2" i="295"/>
  <c r="C16" i="294"/>
  <c r="C15" i="294"/>
  <c r="C14" i="294"/>
  <c r="C13" i="294"/>
  <c r="C12" i="294"/>
  <c r="C11" i="294"/>
  <c r="C5" i="294"/>
  <c r="B5" i="294"/>
  <c r="C4" i="294"/>
  <c r="B4" i="294"/>
  <c r="C3" i="294"/>
  <c r="B3" i="294"/>
  <c r="C2" i="294"/>
  <c r="B2" i="294"/>
  <c r="C16" i="292"/>
  <c r="C15" i="292"/>
  <c r="C14" i="292"/>
  <c r="C13" i="292"/>
  <c r="C12" i="292"/>
  <c r="C11" i="292"/>
  <c r="C5" i="292"/>
  <c r="B5" i="292"/>
  <c r="C4" i="292"/>
  <c r="B4" i="292"/>
  <c r="C3" i="292"/>
  <c r="B3" i="292"/>
  <c r="C2" i="292"/>
  <c r="B2" i="292"/>
  <c r="C16" i="291"/>
  <c r="C15" i="291"/>
  <c r="C14" i="291"/>
  <c r="C13" i="291"/>
  <c r="C12" i="291"/>
  <c r="C11" i="291"/>
  <c r="C5" i="291"/>
  <c r="B5" i="291"/>
  <c r="C4" i="291"/>
  <c r="B4" i="291"/>
  <c r="C3" i="291"/>
  <c r="B3" i="291"/>
  <c r="C2" i="291"/>
  <c r="B2" i="291"/>
  <c r="C16" i="290"/>
  <c r="C15" i="290"/>
  <c r="C14" i="290"/>
  <c r="C13" i="290"/>
  <c r="C12" i="290"/>
  <c r="C11" i="290"/>
  <c r="C5" i="290"/>
  <c r="B5" i="290"/>
  <c r="C4" i="290"/>
  <c r="B4" i="290"/>
  <c r="C3" i="290"/>
  <c r="B3" i="290"/>
  <c r="C2" i="290"/>
  <c r="B2" i="290"/>
  <c r="C16" i="289"/>
  <c r="C15" i="289"/>
  <c r="C14" i="289"/>
  <c r="C13" i="289"/>
  <c r="C12" i="289"/>
  <c r="C11" i="289"/>
  <c r="C5" i="289"/>
  <c r="B5" i="289"/>
  <c r="C4" i="289"/>
  <c r="B4" i="289"/>
  <c r="C3" i="289"/>
  <c r="B3" i="289"/>
  <c r="C2" i="289"/>
  <c r="B2" i="289"/>
  <c r="C16" i="288"/>
  <c r="C15" i="288"/>
  <c r="C14" i="288"/>
  <c r="C13" i="288"/>
  <c r="C12" i="288"/>
  <c r="C11" i="288"/>
  <c r="C5" i="288"/>
  <c r="B5" i="288"/>
  <c r="C4" i="288"/>
  <c r="B4" i="288"/>
  <c r="C3" i="288"/>
  <c r="B3" i="288"/>
  <c r="C2" i="288"/>
  <c r="B2" i="288"/>
  <c r="C16" i="287"/>
  <c r="C15" i="287"/>
  <c r="C14" i="287"/>
  <c r="C13" i="287"/>
  <c r="C12" i="287"/>
  <c r="C11" i="287"/>
  <c r="C5" i="287"/>
  <c r="B5" i="287"/>
  <c r="C4" i="287"/>
  <c r="B4" i="287"/>
  <c r="C3" i="287"/>
  <c r="B3" i="287"/>
  <c r="C2" i="287"/>
  <c r="B2" i="287"/>
  <c r="C16" i="286"/>
  <c r="C15" i="286"/>
  <c r="C14" i="286"/>
  <c r="C13" i="286"/>
  <c r="C12" i="286"/>
  <c r="C11" i="286"/>
  <c r="C5" i="286"/>
  <c r="B5" i="286"/>
  <c r="C4" i="286"/>
  <c r="B4" i="286"/>
  <c r="C3" i="286"/>
  <c r="B3" i="286"/>
  <c r="C2" i="286"/>
  <c r="B2" i="286"/>
  <c r="C16" i="285"/>
  <c r="C15" i="285"/>
  <c r="C14" i="285"/>
  <c r="C13" i="285"/>
  <c r="C12" i="285"/>
  <c r="C11" i="285"/>
  <c r="C5" i="285"/>
  <c r="B5" i="285"/>
  <c r="C4" i="285"/>
  <c r="B4" i="285"/>
  <c r="C3" i="285"/>
  <c r="B3" i="285"/>
  <c r="C2" i="285"/>
  <c r="B2" i="285"/>
  <c r="C16" i="284"/>
  <c r="C15" i="284"/>
  <c r="C14" i="284"/>
  <c r="C13" i="284"/>
  <c r="C12" i="284"/>
  <c r="C11" i="284"/>
  <c r="C5" i="284"/>
  <c r="B5" i="284"/>
  <c r="C4" i="284"/>
  <c r="B4" i="284"/>
  <c r="C3" i="284"/>
  <c r="B3" i="284"/>
  <c r="C2" i="284"/>
  <c r="B2" i="284"/>
  <c r="C16" i="283"/>
  <c r="C15" i="283"/>
  <c r="C14" i="283"/>
  <c r="C13" i="283"/>
  <c r="C12" i="283"/>
  <c r="C11" i="283"/>
  <c r="C5" i="283"/>
  <c r="B5" i="283"/>
  <c r="C4" i="283"/>
  <c r="B4" i="283"/>
  <c r="C3" i="283"/>
  <c r="B3" i="283"/>
  <c r="C2" i="283"/>
  <c r="B2" i="283"/>
  <c r="C16" i="282"/>
  <c r="C15" i="282"/>
  <c r="C14" i="282"/>
  <c r="C13" i="282"/>
  <c r="C12" i="282"/>
  <c r="C11" i="282"/>
  <c r="C5" i="282"/>
  <c r="B5" i="282"/>
  <c r="C4" i="282"/>
  <c r="B4" i="282"/>
  <c r="C3" i="282"/>
  <c r="B3" i="282"/>
  <c r="C2" i="282"/>
  <c r="B2" i="282"/>
  <c r="C16" i="281"/>
  <c r="C15" i="281"/>
  <c r="C14" i="281"/>
  <c r="C13" i="281"/>
  <c r="C12" i="281"/>
  <c r="C11" i="281"/>
  <c r="C5" i="281"/>
  <c r="B5" i="281"/>
  <c r="C4" i="281"/>
  <c r="B4" i="281"/>
  <c r="C3" i="281"/>
  <c r="B3" i="281"/>
  <c r="C2" i="281"/>
  <c r="B2" i="281"/>
  <c r="C16" i="280"/>
  <c r="C15" i="280"/>
  <c r="C14" i="280"/>
  <c r="C13" i="280"/>
  <c r="C12" i="280"/>
  <c r="C11" i="280"/>
  <c r="C5" i="280"/>
  <c r="B5" i="280"/>
  <c r="C4" i="280"/>
  <c r="B4" i="280"/>
  <c r="C3" i="280"/>
  <c r="B3" i="280"/>
  <c r="C2" i="280"/>
  <c r="B2" i="280"/>
  <c r="C16" i="279"/>
  <c r="C15" i="279"/>
  <c r="C14" i="279"/>
  <c r="C13" i="279"/>
  <c r="C12" i="279"/>
  <c r="C11" i="279"/>
  <c r="C5" i="279"/>
  <c r="B5" i="279"/>
  <c r="C4" i="279"/>
  <c r="B4" i="279"/>
  <c r="C3" i="279"/>
  <c r="B3" i="279"/>
  <c r="C2" i="279"/>
  <c r="B2" i="279"/>
  <c r="C16" i="278"/>
  <c r="C15" i="278"/>
  <c r="C14" i="278"/>
  <c r="C13" i="278"/>
  <c r="C12" i="278"/>
  <c r="C11" i="278"/>
  <c r="C5" i="278"/>
  <c r="B5" i="278"/>
  <c r="C4" i="278"/>
  <c r="B4" i="278"/>
  <c r="C3" i="278"/>
  <c r="B3" i="278"/>
  <c r="C2" i="278"/>
  <c r="B2" i="278"/>
  <c r="C16" i="277"/>
  <c r="C15" i="277"/>
  <c r="C14" i="277"/>
  <c r="C13" i="277"/>
  <c r="C12" i="277"/>
  <c r="C11" i="277"/>
  <c r="C5" i="277"/>
  <c r="B5" i="277"/>
  <c r="C4" i="277"/>
  <c r="B4" i="277"/>
  <c r="C3" i="277"/>
  <c r="B3" i="277"/>
  <c r="C2" i="277"/>
  <c r="B2" i="277"/>
  <c r="C16" i="276"/>
  <c r="C15" i="276"/>
  <c r="C14" i="276"/>
  <c r="C13" i="276"/>
  <c r="C12" i="276"/>
  <c r="C11" i="276"/>
  <c r="C5" i="276"/>
  <c r="B5" i="276"/>
  <c r="C4" i="276"/>
  <c r="B4" i="276"/>
  <c r="C3" i="276"/>
  <c r="B3" i="276"/>
  <c r="C2" i="276"/>
  <c r="B2" i="276"/>
  <c r="C16" i="275"/>
  <c r="C15" i="275"/>
  <c r="C14" i="275"/>
  <c r="C13" i="275"/>
  <c r="C12" i="275"/>
  <c r="C11" i="275"/>
  <c r="C5" i="275"/>
  <c r="B5" i="275"/>
  <c r="C4" i="275"/>
  <c r="B4" i="275"/>
  <c r="C3" i="275"/>
  <c r="B3" i="275"/>
  <c r="C2" i="275"/>
  <c r="B2" i="275"/>
  <c r="C16" i="274"/>
  <c r="C15" i="274"/>
  <c r="C14" i="274"/>
  <c r="C13" i="274"/>
  <c r="C12" i="274"/>
  <c r="C11" i="274"/>
  <c r="C5" i="274"/>
  <c r="B5" i="274"/>
  <c r="C4" i="274"/>
  <c r="B4" i="274"/>
  <c r="C3" i="274"/>
  <c r="B3" i="274"/>
  <c r="C2" i="274"/>
  <c r="B2" i="274"/>
  <c r="C16" i="273"/>
  <c r="C15" i="273"/>
  <c r="C14" i="273"/>
  <c r="C13" i="273"/>
  <c r="C12" i="273"/>
  <c r="C11" i="273"/>
  <c r="C5" i="273"/>
  <c r="B5" i="273"/>
  <c r="C4" i="273"/>
  <c r="B4" i="273"/>
  <c r="C3" i="273"/>
  <c r="B3" i="273"/>
  <c r="C2" i="273"/>
  <c r="B2" i="273"/>
  <c r="C16" i="272"/>
  <c r="C15" i="272"/>
  <c r="C14" i="272"/>
  <c r="C13" i="272"/>
  <c r="C12" i="272"/>
  <c r="C11" i="272"/>
  <c r="C5" i="272"/>
  <c r="B5" i="272"/>
  <c r="C4" i="272"/>
  <c r="B4" i="272"/>
  <c r="C3" i="272"/>
  <c r="B3" i="272"/>
  <c r="C2" i="272"/>
  <c r="B2" i="272"/>
  <c r="C16" i="271"/>
  <c r="C15" i="271"/>
  <c r="C14" i="271"/>
  <c r="C13" i="271"/>
  <c r="C12" i="271"/>
  <c r="C11" i="271"/>
  <c r="C5" i="271"/>
  <c r="B5" i="271"/>
  <c r="C4" i="271"/>
  <c r="B4" i="271"/>
  <c r="C3" i="271"/>
  <c r="B3" i="271"/>
  <c r="C2" i="271"/>
  <c r="B2" i="271"/>
  <c r="C16" i="270"/>
  <c r="C15" i="270"/>
  <c r="C14" i="270"/>
  <c r="C13" i="270"/>
  <c r="C12" i="270"/>
  <c r="C11" i="270"/>
  <c r="C5" i="270"/>
  <c r="B5" i="270"/>
  <c r="C4" i="270"/>
  <c r="B4" i="270"/>
  <c r="C3" i="270"/>
  <c r="B3" i="270"/>
  <c r="C2" i="270"/>
  <c r="B2" i="270"/>
  <c r="C16" i="269"/>
  <c r="C15" i="269"/>
  <c r="C14" i="269"/>
  <c r="C13" i="269"/>
  <c r="C12" i="269"/>
  <c r="C11" i="269"/>
  <c r="C5" i="269"/>
  <c r="B5" i="269"/>
  <c r="C4" i="269"/>
  <c r="B4" i="269"/>
  <c r="C3" i="269"/>
  <c r="B3" i="269"/>
  <c r="C2" i="269"/>
  <c r="B2" i="269"/>
  <c r="C16" i="268"/>
  <c r="C15" i="268"/>
  <c r="C14" i="268"/>
  <c r="C13" i="268"/>
  <c r="C12" i="268"/>
  <c r="C11" i="268"/>
  <c r="C5" i="268"/>
  <c r="B5" i="268"/>
  <c r="C4" i="268"/>
  <c r="B4" i="268"/>
  <c r="C3" i="268"/>
  <c r="B3" i="268"/>
  <c r="C2" i="268"/>
  <c r="B2" i="268"/>
  <c r="C16" i="267"/>
  <c r="C15" i="267"/>
  <c r="C14" i="267"/>
  <c r="C13" i="267"/>
  <c r="C12" i="267"/>
  <c r="C11" i="267"/>
  <c r="C5" i="267"/>
  <c r="B5" i="267"/>
  <c r="C4" i="267"/>
  <c r="B4" i="267"/>
  <c r="C3" i="267"/>
  <c r="B3" i="267"/>
  <c r="C2" i="267"/>
  <c r="B2" i="267"/>
  <c r="C16" i="266"/>
  <c r="C15" i="266"/>
  <c r="C14" i="266"/>
  <c r="C13" i="266"/>
  <c r="C12" i="266"/>
  <c r="C11" i="266"/>
  <c r="C5" i="266"/>
  <c r="B5" i="266"/>
  <c r="C4" i="266"/>
  <c r="B4" i="266"/>
  <c r="C3" i="266"/>
  <c r="B3" i="266"/>
  <c r="C2" i="266"/>
  <c r="B2" i="266"/>
  <c r="C16" i="265"/>
  <c r="C15" i="265"/>
  <c r="C14" i="265"/>
  <c r="C13" i="265"/>
  <c r="C12" i="265"/>
  <c r="C11" i="265"/>
  <c r="C5" i="265"/>
  <c r="B5" i="265"/>
  <c r="C4" i="265"/>
  <c r="B4" i="265"/>
  <c r="C3" i="265"/>
  <c r="B3" i="265"/>
  <c r="C2" i="265"/>
  <c r="B2" i="265"/>
  <c r="C16" i="264"/>
  <c r="C15" i="264"/>
  <c r="C14" i="264"/>
  <c r="C13" i="264"/>
  <c r="C12" i="264"/>
  <c r="C11" i="264"/>
  <c r="C5" i="264"/>
  <c r="B5" i="264"/>
  <c r="C4" i="264"/>
  <c r="B4" i="264"/>
  <c r="C3" i="264"/>
  <c r="B3" i="264"/>
  <c r="C2" i="264"/>
  <c r="B2" i="264"/>
  <c r="C16" i="263"/>
  <c r="C15" i="263"/>
  <c r="C14" i="263"/>
  <c r="C13" i="263"/>
  <c r="C12" i="263"/>
  <c r="C11" i="263"/>
  <c r="C5" i="263"/>
  <c r="B5" i="263"/>
  <c r="C4" i="263"/>
  <c r="B4" i="263"/>
  <c r="C3" i="263"/>
  <c r="B3" i="263"/>
  <c r="C2" i="263"/>
  <c r="B2" i="263"/>
  <c r="C16" i="262"/>
  <c r="C15" i="262"/>
  <c r="C14" i="262"/>
  <c r="C13" i="262"/>
  <c r="C12" i="262"/>
  <c r="C11" i="262"/>
  <c r="C5" i="262"/>
  <c r="B5" i="262"/>
  <c r="C4" i="262"/>
  <c r="B4" i="262"/>
  <c r="C3" i="262"/>
  <c r="B3" i="262"/>
  <c r="C2" i="262"/>
  <c r="B2" i="262"/>
  <c r="C16" i="261"/>
  <c r="C15" i="261"/>
  <c r="C14" i="261"/>
  <c r="C13" i="261"/>
  <c r="C12" i="261"/>
  <c r="C11" i="261"/>
  <c r="C5" i="261"/>
  <c r="B5" i="261"/>
  <c r="C4" i="261"/>
  <c r="B4" i="261"/>
  <c r="C3" i="261"/>
  <c r="B3" i="261"/>
  <c r="C2" i="261"/>
  <c r="B2" i="261"/>
  <c r="C16" i="260"/>
  <c r="C15" i="260"/>
  <c r="C14" i="260"/>
  <c r="C13" i="260"/>
  <c r="C12" i="260"/>
  <c r="C11" i="260"/>
  <c r="C5" i="260"/>
  <c r="B5" i="260"/>
  <c r="C4" i="260"/>
  <c r="B4" i="260"/>
  <c r="C3" i="260"/>
  <c r="B3" i="260"/>
  <c r="C2" i="260"/>
  <c r="B2" i="260"/>
  <c r="C16" i="259"/>
  <c r="C15" i="259"/>
  <c r="C14" i="259"/>
  <c r="C13" i="259"/>
  <c r="C12" i="259"/>
  <c r="C11" i="259"/>
  <c r="C5" i="259"/>
  <c r="B5" i="259"/>
  <c r="C4" i="259"/>
  <c r="B4" i="259"/>
  <c r="C3" i="259"/>
  <c r="B3" i="259"/>
  <c r="C2" i="259"/>
  <c r="B2" i="259"/>
  <c r="C16" i="258"/>
  <c r="C15" i="258"/>
  <c r="C14" i="258"/>
  <c r="C13" i="258"/>
  <c r="C12" i="258"/>
  <c r="C11" i="258"/>
  <c r="C5" i="258"/>
  <c r="B5" i="258"/>
  <c r="C4" i="258"/>
  <c r="B4" i="258"/>
  <c r="C3" i="258"/>
  <c r="B3" i="258"/>
  <c r="C2" i="258"/>
  <c r="B2" i="258"/>
  <c r="C16" i="257"/>
  <c r="C15" i="257"/>
  <c r="C14" i="257"/>
  <c r="C13" i="257"/>
  <c r="C12" i="257"/>
  <c r="C11" i="257"/>
  <c r="C5" i="257"/>
  <c r="B5" i="257"/>
  <c r="C4" i="257"/>
  <c r="B4" i="257"/>
  <c r="C3" i="257"/>
  <c r="B3" i="257"/>
  <c r="C2" i="257"/>
  <c r="B2" i="257"/>
  <c r="C16" i="256"/>
  <c r="C15" i="256"/>
  <c r="C14" i="256"/>
  <c r="C13" i="256"/>
  <c r="C12" i="256"/>
  <c r="C11" i="256"/>
  <c r="C5" i="256"/>
  <c r="B5" i="256"/>
  <c r="C4" i="256"/>
  <c r="B4" i="256"/>
  <c r="C3" i="256"/>
  <c r="B3" i="256"/>
  <c r="C2" i="256"/>
  <c r="B2" i="256"/>
  <c r="C16" i="255"/>
  <c r="C15" i="255"/>
  <c r="C14" i="255"/>
  <c r="C13" i="255"/>
  <c r="C12" i="255"/>
  <c r="C11" i="255"/>
  <c r="C5" i="255"/>
  <c r="B5" i="255"/>
  <c r="C4" i="255"/>
  <c r="B4" i="255"/>
  <c r="C3" i="255"/>
  <c r="B3" i="255"/>
  <c r="C2" i="255"/>
  <c r="B2" i="255"/>
  <c r="C16" i="254"/>
  <c r="C15" i="254"/>
  <c r="C14" i="254"/>
  <c r="C13" i="254"/>
  <c r="C12" i="254"/>
  <c r="C11" i="254"/>
  <c r="C5" i="254"/>
  <c r="B5" i="254"/>
  <c r="C4" i="254"/>
  <c r="B4" i="254"/>
  <c r="C3" i="254"/>
  <c r="B3" i="254"/>
  <c r="C2" i="254"/>
  <c r="B2" i="254"/>
  <c r="C16" i="253"/>
  <c r="C15" i="253"/>
  <c r="C14" i="253"/>
  <c r="C13" i="253"/>
  <c r="C12" i="253"/>
  <c r="C11" i="253"/>
  <c r="C5" i="253"/>
  <c r="B5" i="253"/>
  <c r="C4" i="253"/>
  <c r="B4" i="253"/>
  <c r="C3" i="253"/>
  <c r="B3" i="253"/>
  <c r="C2" i="253"/>
  <c r="B2" i="253"/>
  <c r="C16" i="252"/>
  <c r="C15" i="252"/>
  <c r="C14" i="252"/>
  <c r="C13" i="252"/>
  <c r="C12" i="252"/>
  <c r="C11" i="252"/>
  <c r="C5" i="252"/>
  <c r="B5" i="252"/>
  <c r="C4" i="252"/>
  <c r="B4" i="252"/>
  <c r="C3" i="252"/>
  <c r="B3" i="252"/>
  <c r="C2" i="252"/>
  <c r="B2" i="252"/>
  <c r="C16" i="251"/>
  <c r="C15" i="251"/>
  <c r="C14" i="251"/>
  <c r="C13" i="251"/>
  <c r="C12" i="251"/>
  <c r="C11" i="251"/>
  <c r="C5" i="251"/>
  <c r="B5" i="251"/>
  <c r="C4" i="251"/>
  <c r="B4" i="251"/>
  <c r="C3" i="251"/>
  <c r="B3" i="251"/>
  <c r="C2" i="251"/>
  <c r="B2" i="251"/>
  <c r="C16" i="250"/>
  <c r="C15" i="250"/>
  <c r="C14" i="250"/>
  <c r="C13" i="250"/>
  <c r="C12" i="250"/>
  <c r="C11" i="250"/>
  <c r="C5" i="250"/>
  <c r="B5" i="250"/>
  <c r="C4" i="250"/>
  <c r="B4" i="250"/>
  <c r="C3" i="250"/>
  <c r="B3" i="250"/>
  <c r="C2" i="250"/>
  <c r="B2" i="250"/>
  <c r="C16" i="249"/>
  <c r="C15" i="249"/>
  <c r="C14" i="249"/>
  <c r="C13" i="249"/>
  <c r="C12" i="249"/>
  <c r="C11" i="249"/>
  <c r="C5" i="249"/>
  <c r="B5" i="249"/>
  <c r="C4" i="249"/>
  <c r="B4" i="249"/>
  <c r="C3" i="249"/>
  <c r="B3" i="249"/>
  <c r="C2" i="249"/>
  <c r="B2" i="249"/>
  <c r="C16" i="248"/>
  <c r="C15" i="248"/>
  <c r="C14" i="248"/>
  <c r="C13" i="248"/>
  <c r="C12" i="248"/>
  <c r="C11" i="248"/>
  <c r="C5" i="248"/>
  <c r="B5" i="248"/>
  <c r="C4" i="248"/>
  <c r="B4" i="248"/>
  <c r="C3" i="248"/>
  <c r="B3" i="248"/>
  <c r="C2" i="248"/>
  <c r="B2" i="248"/>
  <c r="C16" i="247"/>
  <c r="C15" i="247"/>
  <c r="C14" i="247"/>
  <c r="C13" i="247"/>
  <c r="C12" i="247"/>
  <c r="C11" i="247"/>
  <c r="C5" i="247"/>
  <c r="B5" i="247"/>
  <c r="C4" i="247"/>
  <c r="B4" i="247"/>
  <c r="C3" i="247"/>
  <c r="B3" i="247"/>
  <c r="C2" i="247"/>
  <c r="B2" i="247"/>
  <c r="C16" i="246"/>
  <c r="C15" i="246"/>
  <c r="C14" i="246"/>
  <c r="C13" i="246"/>
  <c r="C12" i="246"/>
  <c r="C11" i="246"/>
  <c r="C5" i="246"/>
  <c r="B5" i="246"/>
  <c r="C4" i="246"/>
  <c r="B4" i="246"/>
  <c r="C3" i="246"/>
  <c r="B3" i="246"/>
  <c r="C2" i="246"/>
  <c r="B2" i="246"/>
  <c r="C16" i="245"/>
  <c r="C15" i="245"/>
  <c r="C14" i="245"/>
  <c r="C13" i="245"/>
  <c r="C12" i="245"/>
  <c r="C11" i="245"/>
  <c r="C5" i="245"/>
  <c r="B5" i="245"/>
  <c r="C4" i="245"/>
  <c r="B4" i="245"/>
  <c r="C3" i="245"/>
  <c r="B3" i="245"/>
  <c r="C2" i="245"/>
  <c r="B2" i="245"/>
  <c r="C16" i="244"/>
  <c r="C15" i="244"/>
  <c r="C14" i="244"/>
  <c r="C13" i="244"/>
  <c r="C12" i="244"/>
  <c r="C11" i="244"/>
  <c r="C5" i="244"/>
  <c r="B5" i="244"/>
  <c r="C4" i="244"/>
  <c r="B4" i="244"/>
  <c r="C3" i="244"/>
  <c r="B3" i="244"/>
  <c r="C2" i="244"/>
  <c r="B2" i="244"/>
  <c r="C16" i="243"/>
  <c r="C15" i="243"/>
  <c r="C14" i="243"/>
  <c r="C13" i="243"/>
  <c r="C12" i="243"/>
  <c r="C11" i="243"/>
  <c r="C5" i="243"/>
  <c r="B5" i="243"/>
  <c r="C4" i="243"/>
  <c r="B4" i="243"/>
  <c r="C3" i="243"/>
  <c r="B3" i="243"/>
  <c r="C2" i="243"/>
  <c r="B2" i="243"/>
  <c r="C16" i="242"/>
  <c r="C15" i="242"/>
  <c r="C14" i="242"/>
  <c r="C13" i="242"/>
  <c r="C12" i="242"/>
  <c r="C11" i="242"/>
  <c r="C5" i="242"/>
  <c r="B5" i="242"/>
  <c r="C4" i="242"/>
  <c r="B4" i="242"/>
  <c r="C3" i="242"/>
  <c r="B3" i="242"/>
  <c r="C2" i="242"/>
  <c r="B2" i="242"/>
  <c r="C16" i="241"/>
  <c r="C15" i="241"/>
  <c r="C14" i="241"/>
  <c r="C13" i="241"/>
  <c r="C12" i="241"/>
  <c r="C11" i="241"/>
  <c r="C5" i="241"/>
  <c r="B5" i="241"/>
  <c r="C4" i="241"/>
  <c r="B4" i="241"/>
  <c r="C3" i="241"/>
  <c r="B3" i="241"/>
  <c r="C2" i="241"/>
  <c r="B2" i="241"/>
  <c r="C16" i="240"/>
  <c r="C15" i="240"/>
  <c r="C14" i="240"/>
  <c r="C13" i="240"/>
  <c r="C12" i="240"/>
  <c r="C11" i="240"/>
  <c r="C5" i="240"/>
  <c r="B5" i="240"/>
  <c r="C4" i="240"/>
  <c r="B4" i="240"/>
  <c r="C3" i="240"/>
  <c r="B3" i="240"/>
  <c r="C2" i="240"/>
  <c r="B2" i="240"/>
  <c r="C16" i="239"/>
  <c r="C15" i="239"/>
  <c r="C14" i="239"/>
  <c r="C13" i="239"/>
  <c r="C12" i="239"/>
  <c r="C11" i="239"/>
  <c r="C5" i="239"/>
  <c r="B5" i="239"/>
  <c r="C4" i="239"/>
  <c r="B4" i="239"/>
  <c r="C3" i="239"/>
  <c r="B3" i="239"/>
  <c r="C2" i="239"/>
  <c r="B2" i="239"/>
  <c r="C16" i="238"/>
  <c r="C15" i="238"/>
  <c r="C14" i="238"/>
  <c r="C13" i="238"/>
  <c r="C12" i="238"/>
  <c r="C11" i="238"/>
  <c r="C5" i="238"/>
  <c r="B5" i="238"/>
  <c r="C4" i="238"/>
  <c r="B4" i="238"/>
  <c r="C3" i="238"/>
  <c r="B3" i="238"/>
  <c r="C2" i="238"/>
  <c r="B2" i="238"/>
  <c r="C16" i="237"/>
  <c r="C15" i="237"/>
  <c r="C14" i="237"/>
  <c r="C13" i="237"/>
  <c r="C12" i="237"/>
  <c r="C11" i="237"/>
  <c r="C5" i="237"/>
  <c r="B5" i="237"/>
  <c r="C4" i="237"/>
  <c r="B4" i="237"/>
  <c r="C3" i="237"/>
  <c r="B3" i="237"/>
  <c r="C2" i="237"/>
  <c r="B2" i="237"/>
  <c r="C16" i="236"/>
  <c r="C15" i="236"/>
  <c r="C14" i="236"/>
  <c r="C13" i="236"/>
  <c r="C12" i="236"/>
  <c r="C11" i="236"/>
  <c r="C5" i="236"/>
  <c r="B5" i="236"/>
  <c r="C4" i="236"/>
  <c r="B4" i="236"/>
  <c r="C3" i="236"/>
  <c r="B3" i="236"/>
  <c r="C2" i="236"/>
  <c r="B2" i="236"/>
  <c r="C16" i="235"/>
  <c r="C15" i="235"/>
  <c r="C14" i="235"/>
  <c r="C13" i="235"/>
  <c r="C12" i="235"/>
  <c r="C11" i="235"/>
  <c r="C5" i="235"/>
  <c r="B5" i="235"/>
  <c r="C4" i="235"/>
  <c r="B4" i="235"/>
  <c r="C3" i="235"/>
  <c r="B3" i="235"/>
  <c r="C2" i="235"/>
  <c r="B2" i="235"/>
  <c r="C16" i="234"/>
  <c r="C15" i="234"/>
  <c r="C14" i="234"/>
  <c r="C13" i="234"/>
  <c r="C12" i="234"/>
  <c r="C11" i="234"/>
  <c r="C5" i="234"/>
  <c r="B5" i="234"/>
  <c r="C4" i="234"/>
  <c r="B4" i="234"/>
  <c r="C3" i="234"/>
  <c r="B3" i="234"/>
  <c r="C2" i="234"/>
  <c r="B2" i="234"/>
  <c r="C16" i="233"/>
  <c r="C15" i="233"/>
  <c r="C14" i="233"/>
  <c r="C13" i="233"/>
  <c r="C12" i="233"/>
  <c r="C11" i="233"/>
  <c r="C5" i="233"/>
  <c r="B5" i="233"/>
  <c r="C4" i="233"/>
  <c r="B4" i="233"/>
  <c r="C3" i="233"/>
  <c r="B3" i="233"/>
  <c r="C2" i="233"/>
  <c r="B2" i="233"/>
  <c r="C16" i="232"/>
  <c r="C15" i="232"/>
  <c r="C14" i="232"/>
  <c r="C13" i="232"/>
  <c r="C12" i="232"/>
  <c r="C11" i="232"/>
  <c r="C5" i="232"/>
  <c r="B5" i="232"/>
  <c r="C4" i="232"/>
  <c r="B4" i="232"/>
  <c r="C3" i="232"/>
  <c r="B3" i="232"/>
  <c r="C2" i="232"/>
  <c r="B2" i="232"/>
  <c r="C16" i="231"/>
  <c r="C15" i="231"/>
  <c r="C14" i="231"/>
  <c r="C13" i="231"/>
  <c r="C12" i="231"/>
  <c r="C11" i="231"/>
  <c r="C5" i="231"/>
  <c r="B5" i="231"/>
  <c r="C4" i="231"/>
  <c r="B4" i="231"/>
  <c r="C3" i="231"/>
  <c r="B3" i="231"/>
  <c r="C2" i="231"/>
  <c r="B2" i="231"/>
  <c r="C16" i="230"/>
  <c r="C15" i="230"/>
  <c r="C14" i="230"/>
  <c r="C13" i="230"/>
  <c r="C12" i="230"/>
  <c r="C11" i="230"/>
  <c r="C5" i="230"/>
  <c r="B5" i="230"/>
  <c r="C4" i="230"/>
  <c r="B4" i="230"/>
  <c r="C3" i="230"/>
  <c r="B3" i="230"/>
  <c r="C2" i="230"/>
  <c r="B2" i="230"/>
  <c r="B10" i="306" l="1"/>
  <c r="B10" i="322"/>
  <c r="C7" i="230"/>
  <c r="C7" i="236"/>
  <c r="C7" i="248"/>
  <c r="C7" i="250"/>
  <c r="C7" i="254"/>
  <c r="C7" i="256"/>
  <c r="C7" i="260"/>
  <c r="C7" i="266"/>
  <c r="C7" i="270"/>
  <c r="C7" i="272"/>
  <c r="C7" i="274"/>
  <c r="C7" i="276"/>
  <c r="C7" i="278"/>
  <c r="C7" i="282"/>
  <c r="C7" i="284"/>
  <c r="C7" i="286"/>
  <c r="C7" i="290"/>
  <c r="C7" i="292"/>
  <c r="C17" i="266"/>
  <c r="C7" i="252"/>
  <c r="B7" i="231"/>
  <c r="B7" i="237"/>
  <c r="B7" i="241"/>
  <c r="B7" i="243"/>
  <c r="B7" i="247"/>
  <c r="B7" i="249"/>
  <c r="B7" i="251"/>
  <c r="B7" i="255"/>
  <c r="B7" i="257"/>
  <c r="B7" i="261"/>
  <c r="B7" i="263"/>
  <c r="B7" i="265"/>
  <c r="B7" i="269"/>
  <c r="B7" i="271"/>
  <c r="B7" i="277"/>
  <c r="B7" i="279"/>
  <c r="B7" i="281"/>
  <c r="B7" i="285"/>
  <c r="B7" i="287"/>
  <c r="B7" i="291"/>
  <c r="C7" i="232"/>
  <c r="C17" i="238"/>
  <c r="C7" i="240"/>
  <c r="B10" i="305"/>
  <c r="B7" i="239"/>
  <c r="C7" i="296"/>
  <c r="C7" i="298"/>
  <c r="C17" i="302"/>
  <c r="C7" i="304"/>
  <c r="C7" i="308"/>
  <c r="C7" i="310"/>
  <c r="C7" i="312"/>
  <c r="C7" i="314"/>
  <c r="C7" i="316"/>
  <c r="C7" i="318"/>
  <c r="B7" i="267"/>
  <c r="B7" i="295"/>
  <c r="B7" i="297"/>
  <c r="B7" i="299"/>
  <c r="B7" i="301"/>
  <c r="B7" i="303"/>
  <c r="B7" i="309"/>
  <c r="B7" i="311"/>
  <c r="B7" i="313"/>
  <c r="B7" i="315"/>
  <c r="B7" i="317"/>
  <c r="B7" i="319"/>
  <c r="B7" i="321"/>
  <c r="C17" i="231"/>
  <c r="C17" i="235"/>
  <c r="C17" i="239"/>
  <c r="C17" i="241"/>
  <c r="C17" i="245"/>
  <c r="C17" i="247"/>
  <c r="C17" i="251"/>
  <c r="C17" i="253"/>
  <c r="C17" i="259"/>
  <c r="C17" i="261"/>
  <c r="C17" i="265"/>
  <c r="C17" i="269"/>
  <c r="C17" i="271"/>
  <c r="C17" i="273"/>
  <c r="C17" i="233"/>
  <c r="C17" i="243"/>
  <c r="C17" i="255"/>
  <c r="C17" i="257"/>
  <c r="C17" i="267"/>
  <c r="C17" i="277"/>
  <c r="C17" i="279"/>
  <c r="C7" i="231"/>
  <c r="C7" i="235"/>
  <c r="C17" i="237"/>
  <c r="C7" i="239"/>
  <c r="C7" i="241"/>
  <c r="B10" i="241" s="1"/>
  <c r="C7" i="243"/>
  <c r="B7" i="230"/>
  <c r="C17" i="230"/>
  <c r="C17" i="232"/>
  <c r="B7" i="234"/>
  <c r="C17" i="234"/>
  <c r="B7" i="236"/>
  <c r="C17" i="236"/>
  <c r="B7" i="238"/>
  <c r="C17" i="240"/>
  <c r="B7" i="242"/>
  <c r="C17" i="242"/>
  <c r="B7" i="244"/>
  <c r="C17" i="244"/>
  <c r="B7" i="246"/>
  <c r="C17" i="246"/>
  <c r="B7" i="248"/>
  <c r="C17" i="248"/>
  <c r="B7" i="250"/>
  <c r="C17" i="250"/>
  <c r="B7" i="252"/>
  <c r="C17" i="252"/>
  <c r="B7" i="254"/>
  <c r="C17" i="254"/>
  <c r="C17" i="256"/>
  <c r="C17" i="258"/>
  <c r="C17" i="260"/>
  <c r="B7" i="262"/>
  <c r="C17" i="262"/>
  <c r="C17" i="264"/>
  <c r="B7" i="266"/>
  <c r="B7" i="268"/>
  <c r="C17" i="268"/>
  <c r="B7" i="270"/>
  <c r="C17" i="270"/>
  <c r="B7" i="272"/>
  <c r="C17" i="272"/>
  <c r="B7" i="274"/>
  <c r="C17" i="274"/>
  <c r="B7" i="276"/>
  <c r="C17" i="276"/>
  <c r="B7" i="278"/>
  <c r="C17" i="278"/>
  <c r="B7" i="280"/>
  <c r="C17" i="280"/>
  <c r="B7" i="282"/>
  <c r="C17" i="282"/>
  <c r="C17" i="284"/>
  <c r="B7" i="286"/>
  <c r="C17" i="286"/>
  <c r="C17" i="288"/>
  <c r="B7" i="290"/>
  <c r="C17" i="290"/>
  <c r="B7" i="292"/>
  <c r="C17" i="292"/>
  <c r="B7" i="294"/>
  <c r="C17" i="294"/>
  <c r="B7" i="296"/>
  <c r="C17" i="296"/>
  <c r="B7" i="298"/>
  <c r="C17" i="298"/>
  <c r="C17" i="299"/>
  <c r="C17" i="300"/>
  <c r="B7" i="304"/>
  <c r="C17" i="304"/>
  <c r="B7" i="308"/>
  <c r="C17" i="308"/>
  <c r="B7" i="310"/>
  <c r="C17" i="310"/>
  <c r="B7" i="312"/>
  <c r="C17" i="312"/>
  <c r="B7" i="314"/>
  <c r="C17" i="314"/>
  <c r="C17" i="316"/>
  <c r="B7" i="318"/>
  <c r="C17" i="318"/>
  <c r="C17" i="320"/>
  <c r="C17" i="283"/>
  <c r="C17" i="285"/>
  <c r="C17" i="287"/>
  <c r="C17" i="289"/>
  <c r="C17" i="291"/>
  <c r="C17" i="295"/>
  <c r="C17" i="297"/>
  <c r="C17" i="303"/>
  <c r="C17" i="309"/>
  <c r="C17" i="311"/>
  <c r="C17" i="313"/>
  <c r="C17" i="315"/>
  <c r="C17" i="319"/>
  <c r="C17" i="321"/>
  <c r="C7" i="245"/>
  <c r="C7" i="249"/>
  <c r="C17" i="249"/>
  <c r="C7" i="251"/>
  <c r="C7" i="253"/>
  <c r="C7" i="261"/>
  <c r="C7" i="263"/>
  <c r="C17" i="263"/>
  <c r="C7" i="265"/>
  <c r="C7" i="267"/>
  <c r="C7" i="269"/>
  <c r="C7" i="273"/>
  <c r="C17" i="275"/>
  <c r="C7" i="277"/>
  <c r="C7" i="279"/>
  <c r="C17" i="281"/>
  <c r="C7" i="285"/>
  <c r="C7" i="287"/>
  <c r="C7" i="291"/>
  <c r="C7" i="295"/>
  <c r="C7" i="301"/>
  <c r="C17" i="301"/>
  <c r="C7" i="303"/>
  <c r="C7" i="313"/>
  <c r="C7" i="315"/>
  <c r="C7" i="317"/>
  <c r="C17" i="317"/>
  <c r="C7" i="319"/>
  <c r="C7" i="321"/>
  <c r="B7" i="320"/>
  <c r="C7" i="320"/>
  <c r="B7" i="316"/>
  <c r="C7" i="311"/>
  <c r="C7" i="309"/>
  <c r="B7" i="302"/>
  <c r="C7" i="302"/>
  <c r="B7" i="300"/>
  <c r="C7" i="300"/>
  <c r="C7" i="299"/>
  <c r="C7" i="297"/>
  <c r="C7" i="294"/>
  <c r="B7" i="289"/>
  <c r="C7" i="289"/>
  <c r="B7" i="288"/>
  <c r="C7" i="288"/>
  <c r="B7" i="284"/>
  <c r="B7" i="283"/>
  <c r="C7" i="283"/>
  <c r="C7" i="281"/>
  <c r="B10" i="281" s="1"/>
  <c r="C7" i="280"/>
  <c r="B7" i="275"/>
  <c r="C7" i="275"/>
  <c r="B7" i="273"/>
  <c r="C7" i="271"/>
  <c r="C7" i="268"/>
  <c r="B7" i="264"/>
  <c r="C7" i="264"/>
  <c r="C7" i="262"/>
  <c r="B7" i="260"/>
  <c r="B7" i="259"/>
  <c r="C7" i="259"/>
  <c r="B7" i="258"/>
  <c r="C7" i="258"/>
  <c r="C7" i="257"/>
  <c r="B7" i="256"/>
  <c r="C7" i="255"/>
  <c r="B7" i="253"/>
  <c r="C7" i="247"/>
  <c r="C7" i="246"/>
  <c r="B7" i="245"/>
  <c r="C7" i="244"/>
  <c r="C7" i="242"/>
  <c r="B7" i="240"/>
  <c r="C7" i="238"/>
  <c r="C7" i="237"/>
  <c r="B7" i="235"/>
  <c r="C7" i="234"/>
  <c r="B7" i="233"/>
  <c r="C7" i="233"/>
  <c r="B7" i="232"/>
  <c r="B10" i="232" s="1"/>
  <c r="B7" i="228"/>
  <c r="C7" i="228"/>
  <c r="C17" i="228"/>
  <c r="C5" i="37"/>
  <c r="B5" i="37"/>
  <c r="C4" i="37"/>
  <c r="B4" i="37"/>
  <c r="C3" i="37"/>
  <c r="B3" i="37"/>
  <c r="C2" i="37"/>
  <c r="B2" i="37"/>
  <c r="C11" i="37"/>
  <c r="C12" i="37"/>
  <c r="C13" i="37"/>
  <c r="C14" i="37"/>
  <c r="C15" i="37"/>
  <c r="C16" i="37"/>
  <c r="B10" i="310" l="1"/>
  <c r="B10" i="251"/>
  <c r="B10" i="298"/>
  <c r="B10" i="311"/>
  <c r="B10" i="243"/>
  <c r="B10" i="301"/>
  <c r="B10" i="265"/>
  <c r="B10" i="286"/>
  <c r="B10" i="252"/>
  <c r="B10" i="236"/>
  <c r="B10" i="278"/>
  <c r="B10" i="270"/>
  <c r="B10" i="230"/>
  <c r="B10" i="269"/>
  <c r="B10" i="254"/>
  <c r="B10" i="255"/>
  <c r="B10" i="291"/>
  <c r="B10" i="279"/>
  <c r="B10" i="266"/>
  <c r="B10" i="250"/>
  <c r="B10" i="247"/>
  <c r="B10" i="257"/>
  <c r="B10" i="290"/>
  <c r="B10" i="276"/>
  <c r="B10" i="256"/>
  <c r="B10" i="272"/>
  <c r="B10" i="292"/>
  <c r="B10" i="282"/>
  <c r="B10" i="303"/>
  <c r="B10" i="239"/>
  <c r="B10" i="297"/>
  <c r="B10" i="238"/>
  <c r="B10" i="319"/>
  <c r="B10" i="234"/>
  <c r="B10" i="245"/>
  <c r="B10" i="244"/>
  <c r="B10" i="248"/>
  <c r="B10" i="235"/>
  <c r="B10" i="267"/>
  <c r="B10" i="312"/>
  <c r="B10" i="253"/>
  <c r="B10" i="309"/>
  <c r="B10" i="284"/>
  <c r="B10" i="318"/>
  <c r="B10" i="263"/>
  <c r="B10" i="240"/>
  <c r="B10" i="260"/>
  <c r="B10" i="317"/>
  <c r="B10" i="287"/>
  <c r="B10" i="277"/>
  <c r="B10" i="274"/>
  <c r="B10" i="299"/>
  <c r="B10" i="315"/>
  <c r="B10" i="285"/>
  <c r="B10" i="313"/>
  <c r="B10" i="246"/>
  <c r="B10" i="261"/>
  <c r="B10" i="242"/>
  <c r="B10" i="316"/>
  <c r="B10" i="249"/>
  <c r="B10" i="308"/>
  <c r="B10" i="296"/>
  <c r="B10" i="321"/>
  <c r="B10" i="233"/>
  <c r="B10" i="237"/>
  <c r="B10" i="258"/>
  <c r="B10" i="283"/>
  <c r="B10" i="271"/>
  <c r="B10" i="295"/>
  <c r="B10" i="314"/>
  <c r="B10" i="304"/>
  <c r="B10" i="231"/>
  <c r="B10" i="275"/>
  <c r="B10" i="300"/>
  <c r="B10" i="262"/>
  <c r="B10" i="320"/>
  <c r="B10" i="264"/>
  <c r="B10" i="268"/>
  <c r="B10" i="273"/>
  <c r="B10" i="280"/>
  <c r="B10" i="294"/>
  <c r="B10" i="302"/>
  <c r="B10" i="289"/>
  <c r="B10" i="288"/>
  <c r="B10" i="259"/>
  <c r="C7" i="37"/>
  <c r="C17" i="37"/>
  <c r="B7" i="37"/>
  <c r="B10" i="228"/>
  <c r="C18" i="228" s="1"/>
  <c r="B10" i="37" l="1"/>
</calcChain>
</file>

<file path=xl/sharedStrings.xml><?xml version="1.0" encoding="utf-8"?>
<sst xmlns="http://schemas.openxmlformats.org/spreadsheetml/2006/main" count="7132" uniqueCount="1939">
  <si>
    <t/>
  </si>
  <si>
    <t>Menu</t>
  </si>
  <si>
    <t>Summary</t>
  </si>
  <si>
    <t>File</t>
  </si>
  <si>
    <t>Function</t>
  </si>
  <si>
    <t>Missing Coverage</t>
  </si>
  <si>
    <t>File Coverage</t>
  </si>
  <si>
    <t>Function Coverage</t>
  </si>
  <si>
    <t>Analysis</t>
  </si>
  <si>
    <t>Category</t>
  </si>
  <si>
    <t>Line</t>
  </si>
  <si>
    <t>Total Nodes</t>
  </si>
  <si>
    <t>Hit</t>
  </si>
  <si>
    <t>Total:</t>
  </si>
  <si>
    <t>Statement Blocks</t>
  </si>
  <si>
    <t>Implicit Blocks</t>
  </si>
  <si>
    <t>Basic Conditions</t>
  </si>
  <si>
    <t>Modified Conditions</t>
  </si>
  <si>
    <t>Initially Missed</t>
  </si>
  <si>
    <t>CR - Code</t>
  </si>
  <si>
    <t>CR - Requirement</t>
  </si>
  <si>
    <t>Test Issue</t>
  </si>
  <si>
    <t>Suppl. Testing</t>
  </si>
  <si>
    <t>Analysis - Defensive</t>
  </si>
  <si>
    <t>Analysis - Deactivated</t>
  </si>
  <si>
    <t>Remaining</t>
  </si>
  <si>
    <t>Total</t>
  </si>
  <si>
    <t>bpcu\ABORTAIR2GNDOPTST.csv</t>
  </si>
  <si>
    <t>bpcu\ABORTEPOPTST.csv</t>
  </si>
  <si>
    <t>bpcu\ABORTPWRUPOPTST.csv</t>
  </si>
  <si>
    <t>bpcu\ACBE_GENTESTLOAD.csv</t>
  </si>
  <si>
    <t>bpcu\ACBE_LOGIC.csv</t>
  </si>
  <si>
    <t>bpcu\ACINTERLOCK.csv</t>
  </si>
  <si>
    <t>bpcu\ACPWRDOWN.csv</t>
  </si>
  <si>
    <t>bpcu\ADJATUBUSSRCVALID.csv</t>
  </si>
  <si>
    <t>bpcu\ADJBSB.csv</t>
  </si>
  <si>
    <t>bpcu\ADJBSB_CONTROL.csv</t>
  </si>
  <si>
    <t>bpcu\ADJBSBFTCPROTECTION.csv</t>
  </si>
  <si>
    <t>bpcu\ADJIT.csv</t>
  </si>
  <si>
    <t>bpcu\ADJTRURLY.csv</t>
  </si>
  <si>
    <t>bpcu\ADJTRURLYFTCPROTECTION.csv</t>
  </si>
  <si>
    <t>bpcu\AFSR_CALLBACK.csv</t>
  </si>
  <si>
    <t>bpcu\AIR2GNDOPTST.csv</t>
  </si>
  <si>
    <t>bpcu\AIR2GNDOPTSTMODE1.csv</t>
  </si>
  <si>
    <t>bpcu\AIR2GNDOPTSTMODE1_ADJIT.csv</t>
  </si>
  <si>
    <t>bpcu\AIR2GNDOPTSTMODE1_BTB.csv</t>
  </si>
  <si>
    <t>bpcu\AIR2GNDOPTSTMODE1_DCT.csv</t>
  </si>
  <si>
    <t>bpcu\AIR2GNDOPTSTMODE1_HOTBATTERYFEEDFET.csv</t>
  </si>
  <si>
    <t>bpcu\AIR2GNDOPTSTMODE2.csv</t>
  </si>
  <si>
    <t>bpcu\AIR2GNDOPTSTMODE2_FAN1.csv</t>
  </si>
  <si>
    <t>bpcu\AIR2GNDOPTSTMODE2_FAN2.csv</t>
  </si>
  <si>
    <t>bpcu\AIR2GNDOPTSTTOPLEVEL.csv</t>
  </si>
  <si>
    <t>bpcu\ANY_LRUFAILED.csv</t>
  </si>
  <si>
    <t>bpcu\ATUBUS_PATH.csv</t>
  </si>
  <si>
    <t>bpcu\ATUBUS_XFERMODES.csv</t>
  </si>
  <si>
    <t>bpcu\ATUBUS_XFERSTATE.csv</t>
  </si>
  <si>
    <t>bpcu\ATUBUS_XFERSTATUS.csv</t>
  </si>
  <si>
    <t>bpcu\ATUBUSXFER_ENGINE.csv</t>
  </si>
  <si>
    <t>bpcu\ATUDPPROTECTION.csv</t>
  </si>
  <si>
    <t>bpcu\BACKUPBUS.csv</t>
  </si>
  <si>
    <t>bpcu\BACKUPBUS_PATH.csv</t>
  </si>
  <si>
    <t>bpcu\BACKUPBUS_XFERFAILED.csv</t>
  </si>
  <si>
    <t>bpcu\BACKUPBUS_XFERMODES.csv</t>
  </si>
  <si>
    <t>bpcu\BACKUPBUS_XFERSTATE.csv</t>
  </si>
  <si>
    <t>bpcu\BACKUPBUS_XFERSTATUS.csv</t>
  </si>
  <si>
    <t>bpcu\BACKUPBUSCURRSRCPATH.csv</t>
  </si>
  <si>
    <t>bpcu\BACKUPBUSRAWTARSRCPATH.csv</t>
  </si>
  <si>
    <t>bpcu\BACKUPBUSSTATE.csv</t>
  </si>
  <si>
    <t>bpcu\BACKUPBUSTARSRCPATH.csv</t>
  </si>
  <si>
    <t>bpcu\BACKUPBUSXFER.csv</t>
  </si>
  <si>
    <t>bpcu\BACKUPBUSXFER_ENGINE.csv</t>
  </si>
  <si>
    <t>bpcu\BACKUPBUSXFER_MANAGER.csv</t>
  </si>
  <si>
    <t>bpcu\BATTERYMONITOR.csv</t>
  </si>
  <si>
    <t>bpcu\BBISOFTCPROTECTION.csv</t>
  </si>
  <si>
    <t>bpcu\BBISORLY.csv</t>
  </si>
  <si>
    <t>bpcu\BBRLY.csv</t>
  </si>
  <si>
    <t>bpcu\BITE_BPCU_DATA_REDUCTION.csv</t>
  </si>
  <si>
    <t>bpcu\BITE_EXECUTIVE.csv</t>
  </si>
  <si>
    <t>bpcu\BITE_UPDATE_SOFTWARE_HOOKS.csv</t>
  </si>
  <si>
    <t>bpcu\BITE_VALIDITYCOM.csv</t>
  </si>
  <si>
    <t>bpcu\BPCU_DATA_REDUCTION.csv</t>
  </si>
  <si>
    <t>bpcu\BPCU_EICAS.csv</t>
  </si>
  <si>
    <t>bpcu\BPCU_MAIN.csv</t>
  </si>
  <si>
    <t>bpcu\BPCU_POWER_TRANSFER.csv</t>
  </si>
  <si>
    <t>bpcu\BPCU_PWRUP_OPTSTS.csv</t>
  </si>
  <si>
    <t>bpcu\BPCU_PWRUP_OPTSTS_OUTPUT_DRIVERS.csv</t>
  </si>
  <si>
    <t>bpcu\BPCU_PWRUP_OPTSTS_SOFTCAL_PROCESSING.csv</t>
  </si>
  <si>
    <t>bpcu\BPCU_PWRUP_OPTSTS_TOPLEVEL.csv</t>
  </si>
  <si>
    <t>bpcu\BPCUCONTROL.csv</t>
  </si>
  <si>
    <t>bpcu\BPCUENGINESTART.csv</t>
  </si>
  <si>
    <t>bpcu\BPCUFTOPROTECTIONS.csv</t>
  </si>
  <si>
    <t>bpcu\BPCUINPUTPROCESSING.csv</t>
  </si>
  <si>
    <t>bpcu\BPCULOADMANAGEMENT_APUOL.csv</t>
  </si>
  <si>
    <t>bpcu\BPCULOADMANAGEMENT_APUOL_LMAPUHYDRUNSTOPCONDOLIDATOR.csv</t>
  </si>
  <si>
    <t>bpcu\BPCULOADMANAGEMENT_ASGOL.csv</t>
  </si>
  <si>
    <t>bpcu\BPCULOADMANAGEMENT_ATRUOL.csv</t>
  </si>
  <si>
    <t>bpcu\BPCULOADMANAGEMENT_ATRUOL_ATRUOVERLOAD_787_9_10.csv</t>
  </si>
  <si>
    <t>bpcu\BPCULOADMANAGEMENT_ATRUOL_BPCUATRUOVERLOAD.csv</t>
  </si>
  <si>
    <t>bpcu\BPCULOADMANAGEMENT_CACTCS.csv</t>
  </si>
  <si>
    <t>bpcu\BPCULOADMANAGEMENT_HPX.csv</t>
  </si>
  <si>
    <t>bpcu\BPCULOADMANAGEMENT_HYDRAULICS.csv</t>
  </si>
  <si>
    <t>bpcu\BPCULOADMANAGEMENT_ICS.csv</t>
  </si>
  <si>
    <t>bpcu\BPCULOADMANAGEMENT_MES.csv</t>
  </si>
  <si>
    <t>bpcu\BPCULOADMANAGEMENT_PT.csv</t>
  </si>
  <si>
    <t>bpcu\BPCULOADMANAGEMENT_PT_LMPTONESHOT.csv</t>
  </si>
  <si>
    <t>bpcu\BPCULOADMANAGEMENT_PT_LMPTONESHOT_E.csv</t>
  </si>
  <si>
    <t>bpcu\BPCULOADMANAGEMENT_RESTORETRIGGERS.csv</t>
  </si>
  <si>
    <t>bpcu\BPCULOADMANAGEMENT_VFSGOL.csv</t>
  </si>
  <si>
    <t>bpcu\BPCULOADMANAGEMENT_VFSGOL_LMVFSGOLWIPSPSCCONSOLIDATOR.csv</t>
  </si>
  <si>
    <t>bpcu\BPCULOADMANAGEMENT2.csv</t>
  </si>
  <si>
    <t>bpcu\BPCULOADMANAGEMENT2_HIGHPOWERFUELCUTOFF.csv</t>
  </si>
  <si>
    <t>bpcu\BPCULOADMANAGEMENT2_LM_CACRUNSTOPCMDCONSOLIDATE.csv</t>
  </si>
  <si>
    <t>bpcu\BPCUMAINTENANCE.csv</t>
  </si>
  <si>
    <t>bpcu\BPCUOUTPUTPROCESSING.csv</t>
  </si>
  <si>
    <t>bpcu\BPCUPROTECTION.csv</t>
  </si>
  <si>
    <t>bpcu\BPCUSOFTCALIBRATION.csv</t>
  </si>
  <si>
    <t>bpcu\BPCUSOFTCALPROCESSING.csv</t>
  </si>
  <si>
    <t>bpcu\BPCUTOPLEVEL.csv</t>
  </si>
  <si>
    <t>bpcu\BPCUVFSGDISCONNECT.csv</t>
  </si>
  <si>
    <t>bpcu\BTB.csv</t>
  </si>
  <si>
    <t>bpcu\BTBFTCPROTECTION.csv</t>
  </si>
  <si>
    <t>bpcu\C1TRUISORLY.csv</t>
  </si>
  <si>
    <t>bpcu\C1TRUISORLY_CONTROL.csv</t>
  </si>
  <si>
    <t>bpcu\C1TRUISORLYFTCPROTECTION.csv</t>
  </si>
  <si>
    <t>bpcu\C1TRUOCPROTECTION.csv</t>
  </si>
  <si>
    <t>bpcu\C1TRURLY.csv</t>
  </si>
  <si>
    <t>bpcu\C1TRURLY_ALTERNATEPATH.csv</t>
  </si>
  <si>
    <t>bpcu\C1TRURLY_CONTROL.csv</t>
  </si>
  <si>
    <t>bpcu\C1TRURLYFTCPROTECTION.csv</t>
  </si>
  <si>
    <t>bpcu\C2TRUOCPROTECTION.csv</t>
  </si>
  <si>
    <t>bpcu\CBMATRIXUPDATE.csv</t>
  </si>
  <si>
    <t>bpcu\CHATTERPROTECTION.csv</t>
  </si>
  <si>
    <t>bpcu\CIT_CONTROL.csv</t>
  </si>
  <si>
    <t>bpcu\CPTFODCTIEBUSOCPROTECTION.csv</t>
  </si>
  <si>
    <t>bpcu\DCBUSCFER_ENGINE.csv</t>
  </si>
  <si>
    <t>bpcu\DCT.csv</t>
  </si>
  <si>
    <t>bpcu\DCTFTCPROTECTION.csv</t>
  </si>
  <si>
    <t>bpcu\DEBOUNCE_BACKUPBUSRAWTARSRCPATH.csv</t>
  </si>
  <si>
    <t>bpcu\DEBOUNCE_OWNATUBUSRAWTARSRC.csv</t>
  </si>
  <si>
    <t>bpcu\DETERMINE_AIRCRAFTMODE.csv</t>
  </si>
  <si>
    <t>bpcu\DETERMINE_AIRCRAFTMODE_LIBRARY.csv</t>
  </si>
  <si>
    <t>bpcu\DETERMINE_EPONLYENGINESTARTTYPE.csv</t>
  </si>
  <si>
    <t>bpcu\DETERMINE_PWRXFERSYSMODE.csv</t>
  </si>
  <si>
    <t>bpcu\DETERMINE_SYSXFESTATE.csv</t>
  </si>
  <si>
    <t>bpcu\EICAS115BUSISLNSTATUS.csv</t>
  </si>
  <si>
    <t>bpcu\EICAS115BUSSTATUS.csv</t>
  </si>
  <si>
    <t>bpcu\EICAS28VDCSTATUS.csv</t>
  </si>
  <si>
    <t>bpcu\EICASAPUBATTSTATUS.csv</t>
  </si>
  <si>
    <t>bpcu\EICASBACKUPBUSSTATUS.csv</t>
  </si>
  <si>
    <t>bpcu\EICASDCBUSSTATUS.csv</t>
  </si>
  <si>
    <t>bpcu\EICASELECATUSTATUS.csv</t>
  </si>
  <si>
    <t>bpcu\EICASELECPWRCTRLUNITSTATUS.csv</t>
  </si>
  <si>
    <t>bpcu\EICASELECSTANDBYSYSADV.csv</t>
  </si>
  <si>
    <t>bpcu\EICASELECTRUSTATUS.csv</t>
  </si>
  <si>
    <t>bpcu\EICASENGSTARTERSADV.csv</t>
  </si>
  <si>
    <t>bpcu\EICASFLTINSTBUSSTATUS.csv</t>
  </si>
  <si>
    <t>bpcu\EICASHOTBATTSTATUS.csv</t>
  </si>
  <si>
    <t>bpcu\EICASMAINBATTADV.csv</t>
  </si>
  <si>
    <t>bpcu\EICASMAINBATTSTATUS.csv</t>
  </si>
  <si>
    <t>bpcu\EICASNONESSSWADV.csv</t>
  </si>
  <si>
    <t>bpcu\EICASSTARTERSTATUS.csv</t>
  </si>
  <si>
    <t>bpcu\EICASSYSCTRLENBLSTATUS.csv</t>
  </si>
  <si>
    <t>bpcu\ELCUBSBTRIP.csv</t>
  </si>
  <si>
    <t>bpcu\ELCUCOORDINATION.csv</t>
  </si>
  <si>
    <t>bpcu\EPCFTCPROTECTION.csv</t>
  </si>
  <si>
    <t>bpcu\EPFREQUENCYDEBOUNCE.csv</t>
  </si>
  <si>
    <t>bpcu\EPOC2PROTECTION.csv</t>
  </si>
  <si>
    <t>bpcu\EPOCPROTECTION.csv</t>
  </si>
  <si>
    <t>bpcu\EPOFPROTECTION.csv</t>
  </si>
  <si>
    <t>bpcu\EPONLYENGINESTARTTYPE_LIBRARY.csv</t>
  </si>
  <si>
    <t>bpcu\EPONLYMESR115BUSRECONFIG.csv</t>
  </si>
  <si>
    <t>bpcu\EPOPENPHASEPROTECTION.csv</t>
  </si>
  <si>
    <t>bpcu\EPOPTST.csv</t>
  </si>
  <si>
    <t>bpcu\EPOPTSTMODE1.csv</t>
  </si>
  <si>
    <t>bpcu\EPOPTSTMODE1_ADJIT.csv</t>
  </si>
  <si>
    <t>bpcu\EPOPTSTMODE1_HOTBATTERYFEEDFET.csv</t>
  </si>
  <si>
    <t>bpcu\EPOPTSTMODE1_MBR.csv</t>
  </si>
  <si>
    <t>bpcu\EPOPTSTMODE1_OPPIT.csv</t>
  </si>
  <si>
    <t>bpcu\EPOPTSTMODE2.csv</t>
  </si>
  <si>
    <t>bpcu\EPOPTSTMODE2_FAN1.csv</t>
  </si>
  <si>
    <t>bpcu\EPOPTSTMODE2_FAN2.csv</t>
  </si>
  <si>
    <t>bpcu\EPOPTSTTOPLEVEL.csv</t>
  </si>
  <si>
    <t>bpcu\EPOVPROTECTION.csv</t>
  </si>
  <si>
    <t>bpcu\EPPHSEQPROTECTION.csv</t>
  </si>
  <si>
    <t>bpcu\EPPROTECTIONFLTLTCH.csv</t>
  </si>
  <si>
    <t>bpcu\EPSSWITCH.csv</t>
  </si>
  <si>
    <t>bpcu\EPUFPROTECTION.csv</t>
  </si>
  <si>
    <t>bpcu\EPUVPROTECTION.csv</t>
  </si>
  <si>
    <t>bpcu\ES_AESMODECOMMAND_EPCONNECTED.csv</t>
  </si>
  <si>
    <t>bpcu\ES_APUAUTOSTART.csv</t>
  </si>
  <si>
    <t>bpcu\ES_APUDATEMODE.csv</t>
  </si>
  <si>
    <t>bpcu\ES_CACAESMODE.csv</t>
  </si>
  <si>
    <t>bpcu\ES_GCUMODECOMMANDS.csv</t>
  </si>
  <si>
    <t>bpcu\ES_L1CACMESMODE.csv</t>
  </si>
  <si>
    <t>bpcu\ES_L2CACMESMODE.csv</t>
  </si>
  <si>
    <t>bpcu\ES_MESCONFIG.csv</t>
  </si>
  <si>
    <t>bpcu\ES_MESCONFIG_LMESPOWERINVALID.csv</t>
  </si>
  <si>
    <t>bpcu\ES_MESCONFIG_MESSOURCECHANGE.csv</t>
  </si>
  <si>
    <t>bpcu\ES_MESCONFIG_RMESPOWERINVALID.csv</t>
  </si>
  <si>
    <t>bpcu\ES_NOCMDMODECOMMAND.csv</t>
  </si>
  <si>
    <t>bpcu\ES_R1CACMESMODE.csv</t>
  </si>
  <si>
    <t>bpcu\ES_R2CACMESMODE.csv</t>
  </si>
  <si>
    <t>bpcu\ES_SIMULTANEOUSMESALLOWED.csv</t>
  </si>
  <si>
    <t>bpcu\ES_SOURCEAVAILABILITY.csv</t>
  </si>
  <si>
    <t>bpcu\ES_STARTCONFIGURATION.csv</t>
  </si>
  <si>
    <t>bpcu\ESICRESETS.csv</t>
  </si>
  <si>
    <t>bpcu\FAILSAFE_CONTACTOR_CONTROL.csv</t>
  </si>
  <si>
    <t>bpcu\FANCONTROL.csv</t>
  </si>
  <si>
    <t>bpcu\FANMONITOR.csv</t>
  </si>
  <si>
    <t>bpcu\FEP_POWER_AVAILABILITY.csv</t>
  </si>
  <si>
    <t>bpcu\FEPC.csv</t>
  </si>
  <si>
    <t>bpcu\FEPCRECEPTLAMP.csv</t>
  </si>
  <si>
    <t>bpcu\FEPCSWTLAMP.csv</t>
  </si>
  <si>
    <t>bpcu\FIT_CONTROL.csv</t>
  </si>
  <si>
    <t>bpcu\GET_FEPCOMMANDEDONSTATE.csv</t>
  </si>
  <si>
    <t>bpcu\GET_SYSCONTACTORSTATE.csv</t>
  </si>
  <si>
    <t>bpcu\GET_SYSCONTACTORSTATUS.csv</t>
  </si>
  <si>
    <t>bpcu\GROUNDHANDLINGMODE.csv</t>
  </si>
  <si>
    <t>bpcu\INHIBITAIR2GNDOPTST.csv</t>
  </si>
  <si>
    <t>bpcu\INHIBITEPOPTST.csv</t>
  </si>
  <si>
    <t>bpcu\INHIBITPWRUPOPTST.csv</t>
  </si>
  <si>
    <t>bpcu\INHIBITPWRXFER.csv</t>
  </si>
  <si>
    <t>bpcu\INSTBUSXFER_ENGINE.csv</t>
  </si>
  <si>
    <t>bpcu\IS_ASGONLYSRC.csv</t>
  </si>
  <si>
    <t>bpcu\IS_EPONLYMESRECONFIGURATION.csv</t>
  </si>
  <si>
    <t>bpcu\IS_INSTBUSESPWRSRCADJCTRU.csv</t>
  </si>
  <si>
    <t>bpcu\IS_PRIMARYSTANDBYINHIBIT.csv</t>
  </si>
  <si>
    <t>bpcu\L1BUSSRCVALID.csv</t>
  </si>
  <si>
    <t>bpcu\LATUBUSSRCVALID.csv</t>
  </si>
  <si>
    <t>bpcu\LDCT_CONTROL.csv</t>
  </si>
  <si>
    <t>bpcu\LMAIRCRAFTMODE.csv</t>
  </si>
  <si>
    <t>bpcu\LMAPUCAPACITY.csv</t>
  </si>
  <si>
    <t>bpcu\LMAPUEGT.csv</t>
  </si>
  <si>
    <t>bpcu\LMAPUENGSTART.csv</t>
  </si>
  <si>
    <t>bpcu\LMAPUINFLIGHTOVERLOADS.csv</t>
  </si>
  <si>
    <t>bpcu\LMAPUOLCACPWRAVAILCONSOLIDATOR.csv</t>
  </si>
  <si>
    <t>bpcu\LMAPUOLCACRSCONSOLIDATOR.csv</t>
  </si>
  <si>
    <t>bpcu\LMAPUONLYFLIGHT.csv</t>
  </si>
  <si>
    <t>bpcu\LMAPUOVERLOAD.csv</t>
  </si>
  <si>
    <t>bpcu\LMAPUPWRINGMULTIBUSINAIROL.csv</t>
  </si>
  <si>
    <t>bpcu\LMASGOVERLOAD.csv</t>
  </si>
  <si>
    <t>bpcu\LMASGOVERLOADCONSOLIDATOR.csv</t>
  </si>
  <si>
    <t>bpcu\LMASGOVERLOADLIBLR.csv</t>
  </si>
  <si>
    <t>bpcu\LMATRUCCONTROL.csv</t>
  </si>
  <si>
    <t>bpcu\LMATRUOVERLOAD.csv</t>
  </si>
  <si>
    <t>bpcu\LMATUOVERLOAD.csv</t>
  </si>
  <si>
    <t>bpcu\LMATUTRULOC.csv</t>
  </si>
  <si>
    <t>bpcu\LMAUTOGAP.csv</t>
  </si>
  <si>
    <t>bpcu\LMBATTERYONLYGROUND.csv</t>
  </si>
  <si>
    <t>bpcu\LMBATTERYREFUELING.csv</t>
  </si>
  <si>
    <t>bpcu\LMCACHYDRUNSTOPCMDCONSOLIDATE.csv</t>
  </si>
  <si>
    <t>bpcu\LMCACLOADSHED.csv</t>
  </si>
  <si>
    <t>bpcu\LMCACMCRUNSTOPCMDCONSOLIDATE.csv</t>
  </si>
  <si>
    <t>bpcu\LMCACPOWERAVAILABLE.csv</t>
  </si>
  <si>
    <t>bpcu\LMCACPWRAVAILCONSOLIDATE.csv</t>
  </si>
  <si>
    <t>bpcu\LMCACSTOPREOCCURANCE.csv</t>
  </si>
  <si>
    <t>bpcu\LMCACTCS.csv</t>
  </si>
  <si>
    <t>bpcu\LMCALCULATEGPUCURRENTLIMITS.csv</t>
  </si>
  <si>
    <t>bpcu\LMCARGOFIRE.csv</t>
  </si>
  <si>
    <t>bpcu\LMCMSCLSMBITCONSOLIDATOR.csv</t>
  </si>
  <si>
    <t>bpcu\LMCONSOLIDATEMISCCMDS.csv</t>
  </si>
  <si>
    <t>bpcu\LMECSFANS.csv</t>
  </si>
  <si>
    <t>bpcu\LMENGINEDYNAMICLOADLIMIT.csv</t>
  </si>
  <si>
    <t>bpcu\LMENGINEHPXLOADLIMITCONSOLIDATOR.csv</t>
  </si>
  <si>
    <t>bpcu\LMENGINEOVERLOAD.csv</t>
  </si>
  <si>
    <t>bpcu\LMENGINEOVERLOADRESPONSE.csv</t>
  </si>
  <si>
    <t>bpcu\LMEPCACPWRAVAIL.csv</t>
  </si>
  <si>
    <t>bpcu\LMEPCACPWRAVAILCONSOLIDATOR.csv</t>
  </si>
  <si>
    <t>bpcu\LMEPOVERLOAD.csv</t>
  </si>
  <si>
    <t>bpcu\LMEPRESTORE.csv</t>
  </si>
  <si>
    <t>bpcu\LMEXTERNALPOWERSTATUS.csv</t>
  </si>
  <si>
    <t>bpcu\LMFLAPSANDSLATSINMOTION.csv</t>
  </si>
  <si>
    <t>bpcu\LMFUEL.csv</t>
  </si>
  <si>
    <t>bpcu\LMGPUOLCACPWRAVAILCONSOLIDATOR.csv</t>
  </si>
  <si>
    <t>bpcu\LMGPUOVERLOAD.csv</t>
  </si>
  <si>
    <t>bpcu\LMGROUNDHANDLING.csv</t>
  </si>
  <si>
    <t>bpcu\LMHIGHIDLEREQUESTCONSOLIDATOR.csv</t>
  </si>
  <si>
    <t>bpcu\LMHIGHPOWERFUELCUTOFF.csv</t>
  </si>
  <si>
    <t>bpcu\LMHPXCACPWRAVAILCONSOLIDATOR.csv</t>
  </si>
  <si>
    <t>bpcu\LMHYDRAULICS.csv</t>
  </si>
  <si>
    <t>bpcu\LMICS.csv</t>
  </si>
  <si>
    <t>bpcu\LMICSPSCONSOLIDATION.csv</t>
  </si>
  <si>
    <t>bpcu\LMLOSSOFATUTRU.csv</t>
  </si>
  <si>
    <t>bpcu\LMLOSSOFCURRENTDATA.csv</t>
  </si>
  <si>
    <t>bpcu\LMLOSSOFNETWORKDATA.csv</t>
  </si>
  <si>
    <t>bpcu\LMLSMBITCONSOLIDATE.csv</t>
  </si>
  <si>
    <t>bpcu\LMMAINENGINESHEDFORHPX.csv</t>
  </si>
  <si>
    <t>bpcu\LMMAINENGINESTART.csv</t>
  </si>
  <si>
    <t>bpcu\LMMAINENGINESTARTINAIR.csv</t>
  </si>
  <si>
    <t>bpcu\LMMAINENGINESTARTONGND.csv</t>
  </si>
  <si>
    <t>bpcu\LMMAINTENANCEMODERESTORE.csv</t>
  </si>
  <si>
    <t>bpcu\LMNGS.csv</t>
  </si>
  <si>
    <t>bpcu\LMNGSPSCONSOLIDATION.csv</t>
  </si>
  <si>
    <t>bpcu\LMONGROUND400HZ.csv</t>
  </si>
  <si>
    <t>bpcu\LMPOWERTRANSFERS.csv</t>
  </si>
  <si>
    <t>bpcu\LMPRIORITYLISTMODES.csv</t>
  </si>
  <si>
    <t>bpcu\LMPRIORITYLISTRESTORETIMER.csv</t>
  </si>
  <si>
    <t>bpcu\LMPT_SENDCACRAW.csv</t>
  </si>
  <si>
    <t>bpcu\LMPTADDFINDEPCONFIGPTRLIB.csv</t>
  </si>
  <si>
    <t>bpcu\LMPTFINDEPCONFIGPTRLIB.csv</t>
  </si>
  <si>
    <t>bpcu\LMRESTORELATCHEDSHEDS.csv</t>
  </si>
  <si>
    <t>bpcu\LMRESTORETRIGGERS.csv</t>
  </si>
  <si>
    <t>bpcu\LMSELECTCALCULATEDCACPWRAVAILEP.csv</t>
  </si>
  <si>
    <t>bpcu\LMSETCURRENTSOURCE.csv</t>
  </si>
  <si>
    <t>bpcu\LMSINGLEVFSGFLIGHT.csv</t>
  </si>
  <si>
    <t>bpcu\LMSINGLEVFSGOVERLOAD.csv</t>
  </si>
  <si>
    <t>bpcu\LMSMOKECLEARING.csv</t>
  </si>
  <si>
    <t>bpcu\LMSOURCEAVAILABILITY.csv</t>
  </si>
  <si>
    <t>bpcu\LMSTANDBYMODE.csv</t>
  </si>
  <si>
    <t>bpcu\LMSUBSEQUENTHPXONGROUND.csv</t>
  </si>
  <si>
    <t>bpcu\LMTRUOVERLOAD.csv</t>
  </si>
  <si>
    <t>bpcu\LMVFSGLOADFAST.csv</t>
  </si>
  <si>
    <t>bpcu\LMVFSGOVERLOAD.csv</t>
  </si>
  <si>
    <t>bpcu\LMWHOSOURCESBUSES.csv</t>
  </si>
  <si>
    <t>bpcu\LMWIPSCYCLEREOCCURANCE.csv</t>
  </si>
  <si>
    <t>bpcu\LMWIPSLOSSOFENGINE.csv</t>
  </si>
  <si>
    <t>bpcu\LMWIPSPSCONSOLIDATION.csv</t>
  </si>
  <si>
    <t>bpcu\LMWIPSSHEDMODECONSOLIDATION.csv</t>
  </si>
  <si>
    <t>bpcu\LRATUBUSSTATE.csv</t>
  </si>
  <si>
    <t>bpcu\LRBTB_CONTROL.csv</t>
  </si>
  <si>
    <t>bpcu\LTRURLY_CONTROL.csv</t>
  </si>
  <si>
    <t>bpcu\MAINDCBUSOCPROTECTION.csv</t>
  </si>
  <si>
    <t>bpcu\MAINTATUTRU.csv</t>
  </si>
  <si>
    <t>bpcu\MAINTBATTERY.csv</t>
  </si>
  <si>
    <t>bpcu\MAINTDISCRETE.csv</t>
  </si>
  <si>
    <t>bpcu\MAINTENANCEMODE.csv</t>
  </si>
  <si>
    <t>bpcu\MAINTEP.csv</t>
  </si>
  <si>
    <t>bpcu\MAINTLMSYNOPTIC.csv</t>
  </si>
  <si>
    <t>bpcu\MAINTNORMMODE.csv</t>
  </si>
  <si>
    <t>bpcu\MAINTRAT.csv</t>
  </si>
  <si>
    <t>bpcu\MASTERSLAVE_AIRCRAFTMODE.csv</t>
  </si>
  <si>
    <t>bpcu\MBR.csv</t>
  </si>
  <si>
    <t>bpcu\MBR_CONTROL.csv</t>
  </si>
  <si>
    <t>bpcu\MULTITAPFTO.csv</t>
  </si>
  <si>
    <t>bpcu\MULTITAPRELAYS.csv</t>
  </si>
  <si>
    <t>bpcu\NEWV235SRCSELECTED.csv</t>
  </si>
  <si>
    <t>bpcu\NVM_SNAPSHOTTRIGGER.csv</t>
  </si>
  <si>
    <t>bpcu\OPERATIONALTESTS.csv</t>
  </si>
  <si>
    <t>bpcu\OPPATUBUSSRCVALID.csv</t>
  </si>
  <si>
    <t>bpcu\OPPBPCUFAILSAFE.csv</t>
  </si>
  <si>
    <t>bpcu\OPPBSB.csv</t>
  </si>
  <si>
    <t>bpcu\OPPBSBFTCPROTECTION.csv</t>
  </si>
  <si>
    <t>bpcu\OPPFWDEPSRCSTATE.csv</t>
  </si>
  <si>
    <t>bpcu\OPPIT.csv</t>
  </si>
  <si>
    <t>bpcu\OPPTRURLY.csv</t>
  </si>
  <si>
    <t>bpcu\OPPTRURLYFTCPROTECTION.csv</t>
  </si>
  <si>
    <t>bpcu\OSX_POSTINITFUNC.csv</t>
  </si>
  <si>
    <t>bpcu\OUTPUT_ACTUATION.csv</t>
  </si>
  <si>
    <t>bpcu\OWN115BUS.csv</t>
  </si>
  <si>
    <t>bpcu\OWN115BUSCURRSRC.csv</t>
  </si>
  <si>
    <t>bpcu\OWN115BUSSTATE.csv</t>
  </si>
  <si>
    <t>bpcu\OWN115BUSTARSRC.csv</t>
  </si>
  <si>
    <t>bpcu\OWN115BUSXFER_MANAGER.csv</t>
  </si>
  <si>
    <t>bpcu\OWNATUBUS.csv</t>
  </si>
  <si>
    <t>bpcu\OWNATUBUSCURRSRC.csv</t>
  </si>
  <si>
    <t>bpcu\OWNATUBUSRAWTARSRC.csv</t>
  </si>
  <si>
    <t>bpcu\OWNATUBUSSTATE.csv</t>
  </si>
  <si>
    <t>bpcu\OWNATUBUSTARSRC.csv</t>
  </si>
  <si>
    <t>bpcu\OWNATUBUSXFER.csv</t>
  </si>
  <si>
    <t>bpcu\OWNATUBUSXFER_MANAGER.csv</t>
  </si>
  <si>
    <t>bpcu\OWNFWDEPSRCSTATE.csv</t>
  </si>
  <si>
    <t>bpcu\PERFORM_ATUBUSXFER.csv</t>
  </si>
  <si>
    <t>bpcu\PERFORM_BACKUPBUSXFER.csv</t>
  </si>
  <si>
    <t>bpcu\PROT_NON_RETRIG_FALLING_EDGE_ONESHOTTD.csv</t>
  </si>
  <si>
    <t>bpcu\PWRUP_OPTSTS_BITE_EXECUTIVE.csv</t>
  </si>
  <si>
    <t>bpcu\PWRUPOPTST.csv</t>
  </si>
  <si>
    <t>bpcu\PWRUPOPTSTBBISORLYCONTACTORDRIVER.csv</t>
  </si>
  <si>
    <t>bpcu\PWRUPOPTSTBTBCONTACTORDRIVER.csv</t>
  </si>
  <si>
    <t>bpcu\PWRUPOPTSTC1TRURLYCONTACTORDRIVER.csv</t>
  </si>
  <si>
    <t>bpcu\PWRUPOPTSTCONTINUOUS.csv</t>
  </si>
  <si>
    <t>bpcu\PWRUPOPTSTCONTINUOUSTOPLEVEL.csv</t>
  </si>
  <si>
    <t>bpcu\PWRUPOPTSTDCTCONTACTORDRIVER.csv</t>
  </si>
  <si>
    <t>bpcu\PWRUPOPTSTMODE1.csv</t>
  </si>
  <si>
    <t>bpcu\PWRUPOPTSTMODE1_BBISORLY.csv</t>
  </si>
  <si>
    <t>bpcu\PWRUPOPTSTMODE1_BTB.csv</t>
  </si>
  <si>
    <t>bpcu\PWRUPOPTSTMODE1_C1TRUISORLY.csv</t>
  </si>
  <si>
    <t>bpcu\PWRUPOPTSTMODE1_C1TRURLY.csv</t>
  </si>
  <si>
    <t>bpcu\PWRUPOPTSTMODE1_DCT.csv</t>
  </si>
  <si>
    <t>bpcu\PWRUPOPTSTMODE4.csv</t>
  </si>
  <si>
    <t>bpcu\PWRUPOPTSTMODE4_ADJBSBRLY.csv</t>
  </si>
  <si>
    <t>bpcu\PWRUPOPTSTMODE4_ADJTRURLY.csv</t>
  </si>
  <si>
    <t>bpcu\PWRUPOPTSTMODE4_C1TRUISORLY.csv</t>
  </si>
  <si>
    <t>bpcu\R2BUSSRCVALID.csv</t>
  </si>
  <si>
    <t>bpcu\RCB.csv</t>
  </si>
  <si>
    <t>bpcu\RDCT_CONTROL.csv</t>
  </si>
  <si>
    <t>bpcu\RECONFIGSTATUS.csv</t>
  </si>
  <si>
    <t>bpcu\RISINGEDGETIMEDELAY.csv</t>
  </si>
  <si>
    <t>bpcu\RTRURLY_CONTROL.csv</t>
  </si>
  <si>
    <t>bpcu\SELECT_INPUTS.csv</t>
  </si>
  <si>
    <t>bpcu\SELECTOUTPUTS.csv</t>
  </si>
  <si>
    <t>bpcu\SET_SECONDARYSTANDBYINHIBIT.csv</t>
  </si>
  <si>
    <t>bpcu\SHUTDOWN_ISR.csv</t>
  </si>
  <si>
    <t>bpcu\SNGL235SRC_ALTERNATEPATH.csv</t>
  </si>
  <si>
    <t>bpcu\SNGL235SRC_R2BUSALTERNATEPATH.csv</t>
  </si>
  <si>
    <t>bpcu\SNGLSRC_SPLITSYS_ALTERNATEPATH.csv</t>
  </si>
  <si>
    <t>bpcu\SNGLSRC115TO115XFER.csv</t>
  </si>
  <si>
    <t>bpcu\SPLIT235AND115SYS.csv</t>
  </si>
  <si>
    <t>bpcu\SPLIT235AND115XFER.csv</t>
  </si>
  <si>
    <t>bpcu\SPSPROTECTION.csv</t>
  </si>
  <si>
    <t>bpcu\SRCID.csv</t>
  </si>
  <si>
    <t>bpcu\SSIDESNGLSRC115TO235XFER.csv</t>
  </si>
  <si>
    <t>bpcu\SSIDESNGLSRC235TO115XFER.csv</t>
  </si>
  <si>
    <t>bpcu\SSX_POSTINIT.csv</t>
  </si>
  <si>
    <t>bpcu\STIMFET.csv</t>
  </si>
  <si>
    <t>bpcu\TRUXFER_ENGINE.csv</t>
  </si>
  <si>
    <t>bpcu\UV2PROTFROMGCU.csv</t>
  </si>
  <si>
    <t>bpcu\V115BUSUV.csv</t>
  </si>
  <si>
    <t>bpcu\V115BUSXFER.csv</t>
  </si>
  <si>
    <t>bpcu\V115BUSXFER_ENGINE.csv</t>
  </si>
  <si>
    <t>bpcu\V235SRCSSTATE.csv</t>
  </si>
  <si>
    <t>gcu\ABORTAIR2GNDOPTST.csv</t>
  </si>
  <si>
    <t>gcu\ABORTCMSCINITIATEDOPTST.csv</t>
  </si>
  <si>
    <t>gcu\ABORTEPOPTST.csv</t>
  </si>
  <si>
    <t>gcu\ABORTPWRUPOPTST.csv</t>
  </si>
  <si>
    <t>gcu\ACBE_GENTESTLOAD.csv</t>
  </si>
  <si>
    <t>gcu\ACBE_LOGIC.csv</t>
  </si>
  <si>
    <t>gcu\ACINTERLOCK.csv</t>
  </si>
  <si>
    <t>gcu\ADJATRUCCONTROL.csv</t>
  </si>
  <si>
    <t>gcu\ADJATUBUSSRCPRIORITY.csv</t>
  </si>
  <si>
    <t>gcu\ADJGCUUFAILSAFE.csv</t>
  </si>
  <si>
    <t>gcu\ADJL235BUSSRCPRIORITY.csv</t>
  </si>
  <si>
    <t>gcu\ADJR235BUSSRCPRIORITY.csv</t>
  </si>
  <si>
    <t>gcu\AEP_POWER_AVAILABILITY.csv</t>
  </si>
  <si>
    <t>gcu\AEPC.csv</t>
  </si>
  <si>
    <t>gcu\AEPCCHATTERPROTECTION.csv</t>
  </si>
  <si>
    <t>gcu\AEPCCONTROL.csv</t>
  </si>
  <si>
    <t>gcu\AEPCFTCPROTECTION.csv</t>
  </si>
  <si>
    <t>gcu\AEPRECPTLAMP.csv</t>
  </si>
  <si>
    <t>gcu\AEPSWTLAMP.csv</t>
  </si>
  <si>
    <t>gcu\AFSR_CALLBACK.csv</t>
  </si>
  <si>
    <t>gcu\AFTEPATRUHVDCUVPROT.csv</t>
  </si>
  <si>
    <t>gcu\AFTEPATRUOTPROT.csv</t>
  </si>
  <si>
    <t>gcu\AFTEPATRUSATURATION.csv</t>
  </si>
  <si>
    <t>gcu\AFTEPMAINTENANCE.csv</t>
  </si>
  <si>
    <t>gcu\AGCUOC2LOCKRESETS.csv</t>
  </si>
  <si>
    <t>gcu\AIR2GNDOPTST.csv</t>
  </si>
  <si>
    <t>gcu\AIR2GNDOPTSTMODE1.csv</t>
  </si>
  <si>
    <t>gcu\AIR2GNDOPTSTMODE1_HOTBATTERYFEEDFET.csv</t>
  </si>
  <si>
    <t>gcu\AIR2GNDOPTSTMODE2.csv</t>
  </si>
  <si>
    <t>gcu\AIR2GNDOPTSTMODE2_FAN1.csv</t>
  </si>
  <si>
    <t>gcu\AIR2GNDOPTSTMODE2_FAN2.csv</t>
  </si>
  <si>
    <t>gcu\AIR2GNDOPTSTTOPLEVEL.csv</t>
  </si>
  <si>
    <t>gcu\ANY_LRUFAILED.csv</t>
  </si>
  <si>
    <t>gcu\ASGENGSTART.csv</t>
  </si>
  <si>
    <t>gcu\ASGOC2ISOLATION.csv</t>
  </si>
  <si>
    <t>gcu\ASGOC2PROTECTION.csv</t>
  </si>
  <si>
    <t>gcu\ASGOCISOLATION.csv</t>
  </si>
  <si>
    <t>gcu\ASGOCPROTECTION.csv</t>
  </si>
  <si>
    <t>gcu\ASGOF1PROTECTION.csv</t>
  </si>
  <si>
    <t>gcu\ASGOF2PROTECTION.csv</t>
  </si>
  <si>
    <t>gcu\ASGSRDFAILSAFEPROTECTION.csv</t>
  </si>
  <si>
    <t>gcu\ASGUFPROTECTION.csv</t>
  </si>
  <si>
    <t>gcu\ASGUNDERSPEED.csv</t>
  </si>
  <si>
    <t>gcu\ASGUSCYCLING.csv</t>
  </si>
  <si>
    <t>gcu\ASGUV2PROTECTION.csv</t>
  </si>
  <si>
    <t>gcu\ATRUC.csv</t>
  </si>
  <si>
    <t>gcu\ATRUCFTCPROTECTION.csv</t>
  </si>
  <si>
    <t>gcu\ATRUCFTO.csv</t>
  </si>
  <si>
    <t>gcu\ATRUCPROTTRIPRQST.csv</t>
  </si>
  <si>
    <t>gcu\ATRUMAINTENANCE.csv</t>
  </si>
  <si>
    <t>gcu\ATRURIPPLE1PROT.csv</t>
  </si>
  <si>
    <t>gcu\ATRURIPPLE2PROT.csv</t>
  </si>
  <si>
    <t>gcu\ATRURIPPLEPROT.csv</t>
  </si>
  <si>
    <t>gcu\ATRUUNBVOLTPROT.csv</t>
  </si>
  <si>
    <t>gcu\ATUC.csv</t>
  </si>
  <si>
    <t>gcu\ATUCFTCPROTECTION.csv</t>
  </si>
  <si>
    <t>gcu\ATUCFTO1.csv</t>
  </si>
  <si>
    <t>gcu\ATUCFTO2.csv</t>
  </si>
  <si>
    <t>gcu\ATUCFTO3.csv</t>
  </si>
  <si>
    <t>gcu\BBRLY.csv</t>
  </si>
  <si>
    <t>gcu\BBRLYFTCPROTECTION.csv</t>
  </si>
  <si>
    <t>gcu\BBRLYFTO.csv</t>
  </si>
  <si>
    <t>gcu\BEARINGROTORPROTECTION.csv</t>
  </si>
  <si>
    <t>gcu\BITE_EXECUTIVE.csv</t>
  </si>
  <si>
    <t>gcu\BITE_HOOKS_AND_HANDLES.csv</t>
  </si>
  <si>
    <t>gcu\BITE_IO.csv</t>
  </si>
  <si>
    <t>gcu\BITE_UPDATE_DESIGN_NOTES.csv</t>
  </si>
  <si>
    <t>gcu\BITE_UPDATE_SOFTWARE_HOOKS_OTHERS.csv</t>
  </si>
  <si>
    <t>gcu\BUSATRUPROTECTION.csv</t>
  </si>
  <si>
    <t>gcu\BUSOFFMAINTENANCE.csv</t>
  </si>
  <si>
    <t>gcu\BUSSYNOPTICS.csv</t>
  </si>
  <si>
    <t>gcu\BUSUVPROTECTON.csv</t>
  </si>
  <si>
    <t>gcu\CALCULATE_PMGFREQUENCY.csv</t>
  </si>
  <si>
    <t>gcu\CHATTERPROTECTION.csv</t>
  </si>
  <si>
    <t>gcu\CMSCINITIATEDOPTST.csv</t>
  </si>
  <si>
    <t>gcu\CMSCINITIATEDOPTST_ATRUCCACTRIPRQST.csv</t>
  </si>
  <si>
    <t>gcu\CMSCINITIATEDOPTST_ATRUCEMPTRIPRQST.csv</t>
  </si>
  <si>
    <t>gcu\CMSCINITIATEDOPTST_STARTCONTACTORS.csv</t>
  </si>
  <si>
    <t>gcu\CMSCINITIATEDOPTSTTOPLEVEL.csv</t>
  </si>
  <si>
    <t>gcu\CMSCSAFEINLKPROT.csv</t>
  </si>
  <si>
    <t>gcu\CONTACTORPROTCOORD.csv</t>
  </si>
  <si>
    <t>gcu\DCCONTENTPROTECTION.csv</t>
  </si>
  <si>
    <t>gcu\DCLINKMONPROTECTION.csv</t>
  </si>
  <si>
    <t>gcu\DEBOUNCE_OWN235BUSRAWTARSRC.csv</t>
  </si>
  <si>
    <t>gcu\DETERMINE_AIRCRAFTMODE.csv</t>
  </si>
  <si>
    <t>gcu\DETERMINE_AIRCRAFTMODE_LIBRARY.csv</t>
  </si>
  <si>
    <t>gcu\DETERMINE_OVTPUFAULT.csv</t>
  </si>
  <si>
    <t>gcu\DPPROTECTION.csv</t>
  </si>
  <si>
    <t>gcu\DUALASGCONTROL.csv</t>
  </si>
  <si>
    <t>gcu\DUALASGMODE.csv</t>
  </si>
  <si>
    <t>gcu\EICASACBUSCAUTION.csv</t>
  </si>
  <si>
    <t>gcu\EICASELECATUSTATUS.csv</t>
  </si>
  <si>
    <t>gcu\EICASGENCTRLSTATUS.csv</t>
  </si>
  <si>
    <t>gcu\EICASGENDEBRISSTATUS.csv</t>
  </si>
  <si>
    <t>gcu\EICASGENDRIVEADV.csv</t>
  </si>
  <si>
    <t>gcu\EICASGENOFFADV.csv</t>
  </si>
  <si>
    <t>gcu\EICASGENSYSSTATUS.csv</t>
  </si>
  <si>
    <t>gcu\EICASHVDCSTATUS.csv</t>
  </si>
  <si>
    <t>gcu\EICASMAINACISLNSTATUS.csv</t>
  </si>
  <si>
    <t>gcu\ELCUPROTCOORD.csv</t>
  </si>
  <si>
    <t>gcu\ENGINESTARTCONTACTORSTATUS.csv</t>
  </si>
  <si>
    <t>gcu\ENGSTARTINHIBIT.csv</t>
  </si>
  <si>
    <t>gcu\EPAFTCONTROL.csv</t>
  </si>
  <si>
    <t>gcu\EPAFTPROTECTIONS.csv</t>
  </si>
  <si>
    <t>gcu\EPDCCONTENTPROTECTION.csv</t>
  </si>
  <si>
    <t>gcu\EPFREQUENCYDEBOUNCE.csv</t>
  </si>
  <si>
    <t>gcu\EPOCPROTECTION.csv</t>
  </si>
  <si>
    <t>gcu\EPOFPROTECTION.csv</t>
  </si>
  <si>
    <t>gcu\EPONLYENGINESTARTTYPE.csv</t>
  </si>
  <si>
    <t>gcu\EPONLYENGINESTARTTYPE_LIBRARY.csv</t>
  </si>
  <si>
    <t>gcu\EPOPENPHASEPROTECTION.csv</t>
  </si>
  <si>
    <t>gcu\EPOPTST.csv</t>
  </si>
  <si>
    <t>gcu\EPOPTSTMODE1.csv</t>
  </si>
  <si>
    <t>gcu\EPOPTSTMODE1_HOTBATTERYFEEDFET.csv</t>
  </si>
  <si>
    <t>gcu\EPOPTSTMODE2.csv</t>
  </si>
  <si>
    <t>gcu\EPOPTSTMODE2_FAN1.csv</t>
  </si>
  <si>
    <t>gcu\EPOPTSTMODE2_FAN2.csv</t>
  </si>
  <si>
    <t>gcu\EPOPTSTTOPLEVEL.csv</t>
  </si>
  <si>
    <t>gcu\EPOVPROTECTION.csv</t>
  </si>
  <si>
    <t>gcu\EPPHSEQPROTECTION.csv</t>
  </si>
  <si>
    <t>gcu\EPPROTECTIONFLTLTCH.csv</t>
  </si>
  <si>
    <t>gcu\EPSSWITCH.csv</t>
  </si>
  <si>
    <t>gcu\EPUFPROTECTION.csv</t>
  </si>
  <si>
    <t>gcu\EPUVPROTECTION.csv</t>
  </si>
  <si>
    <t>gcu\ESICRESETS.csv</t>
  </si>
  <si>
    <t>gcu\ETPUTEST.csv</t>
  </si>
  <si>
    <t>gcu\FAILSAFE_CONTACTOR_CONTROL.csv</t>
  </si>
  <si>
    <t>gcu\FANCONTROL.csv</t>
  </si>
  <si>
    <t>gcu\FANMONITOR.csv</t>
  </si>
  <si>
    <t>gcu\FIRESWITCHMON.csv</t>
  </si>
  <si>
    <t>gcu\GCB_APB.csv</t>
  </si>
  <si>
    <t>gcu\GCBAPBFTCPROTECTION.csv</t>
  </si>
  <si>
    <t>gcu\GCBAPBFTO.csv</t>
  </si>
  <si>
    <t>gcu\GCSSWITCH.csv</t>
  </si>
  <si>
    <t>gcu\GCU_EICAS.csv</t>
  </si>
  <si>
    <t>gcu\GCU_FTOPROTECTIONS.csv</t>
  </si>
  <si>
    <t>gcu\GCU_MAIN.csv</t>
  </si>
  <si>
    <t>gcu\GCU_POWER_TRANSFER.csv</t>
  </si>
  <si>
    <t>gcu\GCU_PWRUP_OPTSTS.csv</t>
  </si>
  <si>
    <t>gcu\GCU_PWRUP_OPTSTS_OUTPUT_DRIVERS.csv</t>
  </si>
  <si>
    <t>gcu\GCU_PWRUP_OPTSTS_TOPLEVEL.csv</t>
  </si>
  <si>
    <t>gcu\GCUCONTROL.csv</t>
  </si>
  <si>
    <t>gcu\GCUMAINTENANCE.csv</t>
  </si>
  <si>
    <t>gcu\GCUTOPLEVEL.csv</t>
  </si>
  <si>
    <t>gcu\GEC1.csv</t>
  </si>
  <si>
    <t>gcu\GEC2.csv</t>
  </si>
  <si>
    <t>gcu\GEC3.csv</t>
  </si>
  <si>
    <t>gcu\GEC3CONTROL.csv</t>
  </si>
  <si>
    <t>gcu\GEN_POWER_AVAILABILITY.csv</t>
  </si>
  <si>
    <t>gcu\GENOPENPHASEPROTECTION.csv</t>
  </si>
  <si>
    <t>gcu\GENOV1PROTECTION.csv</t>
  </si>
  <si>
    <t>gcu\GENUVPROTECTION.csv</t>
  </si>
  <si>
    <t>gcu\GET_FEPCOMMANDEDONSTATE.csv</t>
  </si>
  <si>
    <t>gcu\GET_SYSYCONTACTORSTATE.csv</t>
  </si>
  <si>
    <t>gcu\GET_SYSYCONTACTORSTATUS.csv</t>
  </si>
  <si>
    <t>gcu\GETSUOPTEST.csv</t>
  </si>
  <si>
    <t>gcu\GETSUPROTECTION.csv</t>
  </si>
  <si>
    <t>gcu\GNR.csv</t>
  </si>
  <si>
    <t>gcu\INHIBITAIR2GNDOPTST.csv</t>
  </si>
  <si>
    <t>gcu\INHIBITCMSCINITIATEDOPTST.csv</t>
  </si>
  <si>
    <t>gcu\INHIBITEPOPTST.csv</t>
  </si>
  <si>
    <t>gcu\INHIBITPWRUPOPTST.csv</t>
  </si>
  <si>
    <t>gcu\INHIBITPWRXFER.csv</t>
  </si>
  <si>
    <t>gcu\INPUTPROCESSING.csv</t>
  </si>
  <si>
    <t>gcu\IS_EPONLYMES_RECONFIGURATION.csv</t>
  </si>
  <si>
    <t>gcu\LASTSOURCEAIR.csv</t>
  </si>
  <si>
    <t>gcu\LRUPOSITION.csv</t>
  </si>
  <si>
    <t>gcu\MAINENGSTART.csv</t>
  </si>
  <si>
    <t>gcu\MASTERSLAVE_AIRCRAFTMODE.csv</t>
  </si>
  <si>
    <t>gcu\NEWV235SRC.csv</t>
  </si>
  <si>
    <t>gcu\NVM_SNAPSHOTTRIGGER.csv</t>
  </si>
  <si>
    <t>gcu\OPENGENCTPROTECTION.csv</t>
  </si>
  <si>
    <t>gcu\OPERATIONALTESTS.csv</t>
  </si>
  <si>
    <t>gcu\OPTSTOILDEBRISMONITOR.csv</t>
  </si>
  <si>
    <t>gcu\OSX_POSTINITFUNC.csv</t>
  </si>
  <si>
    <t>gcu\OUTPUT_ACTUATION.csv</t>
  </si>
  <si>
    <t>gcu\OUTPUTPROCESSING.csv</t>
  </si>
  <si>
    <t>gcu\OVTPUISOLATION.csv</t>
  </si>
  <si>
    <t>gcu\OVTPUTEST.csv</t>
  </si>
  <si>
    <t>gcu\OWN235BUS.csv</t>
  </si>
  <si>
    <t>gcu\OWN235BUSCURRSRC.csv</t>
  </si>
  <si>
    <t>gcu\OWN235BUSRAWTARSRC.csv</t>
  </si>
  <si>
    <t>gcu\OWN235BUSSTATE.csv</t>
  </si>
  <si>
    <t>gcu\OWN235BUSTARSRC.csv</t>
  </si>
  <si>
    <t>gcu\OWN235BUSXFER.csv</t>
  </si>
  <si>
    <t>gcu\OWN235BUSXFER_MANAGER.csv</t>
  </si>
  <si>
    <t>gcu\OWN270BUS.csv</t>
  </si>
  <si>
    <t>gcu\OWNSRCAVAILABILITY.csv</t>
  </si>
  <si>
    <t>gcu\PERFORM_235BUSXFER.csv</t>
  </si>
  <si>
    <t>gcu\PHSEQPROTECTION.csv</t>
  </si>
  <si>
    <t>gcu\PORMAINTENANCE.csv</t>
  </si>
  <si>
    <t>gcu\PROTECTIONFLTLTCH.csv</t>
  </si>
  <si>
    <t>gcu\PWRUP_OPTSTS_BITE_EXECUTIVE.csv</t>
  </si>
  <si>
    <t>gcu\PWRUPOPTST.csv</t>
  </si>
  <si>
    <t>gcu\PWRUPOPTSTATUCCONTACTORDRIVER.csv</t>
  </si>
  <si>
    <t>gcu\PWRUPOPTSTCONTINUOUS.csv</t>
  </si>
  <si>
    <t>gcu\PWRUPOPTSTCONTINUOUSTOPLEVEL.csv</t>
  </si>
  <si>
    <t>gcu\PWRUPOPTSTMODE1.csv</t>
  </si>
  <si>
    <t>gcu\PWRUPOPTSTMODE1_ATRUCELCUTRIPRQST.csv</t>
  </si>
  <si>
    <t>gcu\PWRUPOPTSTMODE1_ATUC.csv</t>
  </si>
  <si>
    <t>gcu\PWRUPOPTSTMODE1_ATUCELCUTRIPRQST.csv</t>
  </si>
  <si>
    <t>gcu\PWRUPOPTSTMODE2.csv</t>
  </si>
  <si>
    <t>gcu\PWRUPOPTSTMODE2_ATUCELCUTRIPRQST.csv</t>
  </si>
  <si>
    <t>gcu\PWRUPOPTSTMODE2_TIEBTB.csv</t>
  </si>
  <si>
    <t>gcu\PWRUPOPTSTMODE3.csv</t>
  </si>
  <si>
    <t>gcu\PWRUPOPTSTMODE3_TIEBTB.csv</t>
  </si>
  <si>
    <t>gcu\PWRUPOPTSTMODE4.csv</t>
  </si>
  <si>
    <t>gcu\PWRUPOPTSTMODE4_ATUC.csv</t>
  </si>
  <si>
    <t>gcu\PWRUPOPTSTTIEBTBCONTACTORDRIVER.csv</t>
  </si>
  <si>
    <t>gcu\RECONFIGEPONLYMES.csv</t>
  </si>
  <si>
    <t>gcu\RECONFIGSTATUS.csv</t>
  </si>
  <si>
    <t>gcu\RFMCINITIATEDOPTST.csv</t>
  </si>
  <si>
    <t>gcu\RFMCINITIATEDOPTSTTOPLEVEL.csv</t>
  </si>
  <si>
    <t>gcu\RINGBTB.csv</t>
  </si>
  <si>
    <t>gcu\RINGBTBFTCPROTECTION.csv</t>
  </si>
  <si>
    <t>gcu\RINGBTBFTO.csv</t>
  </si>
  <si>
    <t>gcu\ROLSPROTECTION.csv</t>
  </si>
  <si>
    <t>gcu\ROTORBURSTPROTECTION.csv</t>
  </si>
  <si>
    <t>gcu\SELECTINPUTS.csv</t>
  </si>
  <si>
    <t>gcu\SELECTOUTPUTS.csv</t>
  </si>
  <si>
    <t>gcu\SNGLSRC_SPLITSYS_ALTERNATEPATH.csv</t>
  </si>
  <si>
    <t>gcu\SOFTCALIBRATION.csv</t>
  </si>
  <si>
    <t>gcu\SOFTCALPROCESSING.csv</t>
  </si>
  <si>
    <t>gcu\SPLIT235AND115SYS.csv</t>
  </si>
  <si>
    <t>gcu\SRCID.csv</t>
  </si>
  <si>
    <t>gcu\SRCPRIORITYTBL.csv</t>
  </si>
  <si>
    <t>gcu\SSIDESNGLSRC115TO235XXER.csv</t>
  </si>
  <si>
    <t>gcu\SSIDESNGLSRC235TO115XFER.csv</t>
  </si>
  <si>
    <t>gcu\STAGGER_XFERS.csv</t>
  </si>
  <si>
    <t>gcu\STARTCONTCONTROL.csv</t>
  </si>
  <si>
    <t>gcu\TBDPPROTECTION.csv</t>
  </si>
  <si>
    <t>gcu\TIEBTB.csv</t>
  </si>
  <si>
    <t>gcu\TIEBTBFTCPROTECTION.csv</t>
  </si>
  <si>
    <t>gcu\TIEBTBFTO1.csv</t>
  </si>
  <si>
    <t>gcu\TIEBTBFTO2.csv</t>
  </si>
  <si>
    <t>gcu\UPFPROTECTION.csv</t>
  </si>
  <si>
    <t>gcu\V235ATRUHVDCUVPROT.csv</t>
  </si>
  <si>
    <t>gcu\V235ATRUOTPROT.csv</t>
  </si>
  <si>
    <t>gcu\V235ATRUSATURATION.csv</t>
  </si>
  <si>
    <t>gcu\V235BUS_PATH.csv</t>
  </si>
  <si>
    <t>gcu\V235BUSXFER_ENGINE.csv</t>
  </si>
  <si>
    <t>gcu\V270BUSSTATE.csv</t>
  </si>
  <si>
    <t>gcu\V270BUSXFER_ENGINE.csv</t>
  </si>
  <si>
    <t>gcu\VFSGASGPROTECTIONS.csv</t>
  </si>
  <si>
    <t>gcu\VFSGDISCMAINTENANCE.csv</t>
  </si>
  <si>
    <t>gcu\VFSGDISCONNECT.csv</t>
  </si>
  <si>
    <t>gcu\VFSGOC2ISOLATION.csv</t>
  </si>
  <si>
    <t>gcu\VFSGOC2PROTECTION.csv</t>
  </si>
  <si>
    <t>gcu\VFSGOCISOLATION.csv</t>
  </si>
  <si>
    <t>gcu\VFSGOCPROTECTION.csv</t>
  </si>
  <si>
    <t>gcu\VFSGOCPROTECTIONUS.csv</t>
  </si>
  <si>
    <t>gcu\VFSGOFPROTECTION.csv</t>
  </si>
  <si>
    <t>gcu\VFSGOILPRESSUREMONITOR.csv</t>
  </si>
  <si>
    <t>gcu\VFSGSRDFAILSAFEPROTECTION.csv</t>
  </si>
  <si>
    <t>gcu\VFSGUF1PROTECTION.csv</t>
  </si>
  <si>
    <t>gcu\VFSGUNDERSPEED.csv</t>
  </si>
  <si>
    <t>gcu\VFSGUV2PROTECTION.csv</t>
  </si>
  <si>
    <t>gcu\VRCONTROL.csv</t>
  </si>
  <si>
    <t>gcu\XFERMODES.csv</t>
  </si>
  <si>
    <t>gcu\XFERSTATE.csv</t>
  </si>
  <si>
    <t>gcu\XFERSTATUS.csv</t>
  </si>
  <si>
    <t>BPCU A-B</t>
  </si>
  <si>
    <t>BPCU C-I</t>
  </si>
  <si>
    <t>BPCU L-N</t>
  </si>
  <si>
    <t>BPCU O-V</t>
  </si>
  <si>
    <t>GCU A-D</t>
  </si>
  <si>
    <t>GCU E-I</t>
  </si>
  <si>
    <t>GCU L-P</t>
  </si>
  <si>
    <t>GCU R-X</t>
  </si>
  <si>
    <t>gcu\LVPS_DETECT.csv</t>
  </si>
  <si>
    <t>gcu\SSX_PREINIT.csv</t>
  </si>
  <si>
    <t>bpcu\BPCULOADMANAGEMENT_APUOL_RESTORELATCHEDSHEDS.csv</t>
  </si>
  <si>
    <t>bpcu\LVPS_DETECT.csv</t>
  </si>
  <si>
    <t>bpcu\SSX_PREINIT.csv</t>
  </si>
  <si>
    <t>gcu\SSX_POSTINIT.csv</t>
  </si>
  <si>
    <t>bpcu\CONDITIONFIXEDTD.csv</t>
  </si>
  <si>
    <t>bpcu\CONDITIONFIXEDTDWITHINHIBIT.csv</t>
  </si>
  <si>
    <t>bpcu\LM_SHEDRESTORE.csv</t>
  </si>
  <si>
    <t>bpcu\RESET_SHUTDOWN_HWINTERRUPT.csv</t>
  </si>
  <si>
    <t>bpcu\RT_ENAB.csv</t>
  </si>
  <si>
    <t>bpcu\UNDERPROTECTIONWITHINHIBITANDCONDITION.csv</t>
  </si>
  <si>
    <t>bpcu\MEMSET.csv</t>
  </si>
  <si>
    <t>bpcu\ONESHOTTD_FALLING_EDGE.csv</t>
  </si>
  <si>
    <t>bpcu\ONESHOTTD_RISING_EDGE.csv</t>
  </si>
  <si>
    <t>bpcu\OVERPROTECTIONWITHINHIBITANDCONDITION.csv</t>
  </si>
  <si>
    <t>gcu\CONDITIONFIXEDTD.csv</t>
  </si>
  <si>
    <t>gcu\CONDITIONFIXEDTDWITHINHIBIT.csv</t>
  </si>
  <si>
    <t>gcu\ONESHOTTD_FALLING_EDGE.csv</t>
  </si>
  <si>
    <t>gcu\ONESHOTTD_RISING_EDGE.csv</t>
  </si>
  <si>
    <t>gcu\OVERPROTECTIONWITHINHIBITANDCONDITION.csv</t>
  </si>
  <si>
    <t>gcu\RT_ENAB.csv</t>
  </si>
  <si>
    <t>gcu\UNDERPROTECTIONWITHINHIBITANDCONDITION.csv</t>
  </si>
  <si>
    <t>ABORTAIR2GNDOPTST.C :</t>
  </si>
  <si>
    <t>Statement blocks ............ 100.0% (1/1)</t>
  </si>
  <si>
    <t>Implicit blocks .............   none</t>
  </si>
  <si>
    <t>Decisions ................... 100.0% (1/1)</t>
  </si>
  <si>
    <t>Basic conditions ............ 100.0% (4/4)</t>
  </si>
  <si>
    <t>Modified conditions ......... 100.0% (2/2)</t>
  </si>
  <si>
    <t>Is_AbortAir2GndOpTst :</t>
  </si>
  <si>
    <t>ABORTAIR2GNDOPTST</t>
  </si>
  <si>
    <t>ABORTCMSCINITIATEDOPTST.C :</t>
  </si>
  <si>
    <t>Basic conditions ............   none</t>
  </si>
  <si>
    <t>Modified conditions .........   none</t>
  </si>
  <si>
    <t>Is_AbortCMSCInitiatedOpTst :</t>
  </si>
  <si>
    <t>ABORTCMSCINITIATEDOPTST</t>
  </si>
  <si>
    <t>ABORTEPOPTST.C :</t>
  </si>
  <si>
    <t>Is_AbortEPOpTst :</t>
  </si>
  <si>
    <t>ABORTEPOPTST</t>
  </si>
  <si>
    <t>ABORTPWRUPOPTST.C :</t>
  </si>
  <si>
    <t>Is_AbortPwrUpOpTst :</t>
  </si>
  <si>
    <t>ABORTPWRUPOPTST</t>
  </si>
  <si>
    <t>ACBE_GENTESTLOAD.C :</t>
  </si>
  <si>
    <t>Statement blocks ............ 100.0% (57/57)</t>
  </si>
  <si>
    <t>Decisions ................... 100.0% (57/57)</t>
  </si>
  <si>
    <t>Basic conditions ............ 100.0% (3608/3608)</t>
  </si>
  <si>
    <t>Modified conditions ......... 100.0% (1804/1804)</t>
  </si>
  <si>
    <t>CBE_MON_VFSG_ASG_OV_PROT_LOGIC :</t>
  </si>
  <si>
    <t>Basic conditions ............ 100.0% (6/6)</t>
  </si>
  <si>
    <t>Modified conditions ......... 100.0% (3/3)</t>
  </si>
  <si>
    <t>CBE_MON_VFSG_ASG_EXCITER_DRIVER_OVERVOLTAGE_PROTECTION_LOGIC :</t>
  </si>
  <si>
    <t>Basic conditions ............ 100.0% (24/24)</t>
  </si>
  <si>
    <t>Modified conditions ......... 100.0% (12/12)</t>
  </si>
  <si>
    <t>CBE_MON_VFSG_ASG_UV_PROT_LOGIC :</t>
  </si>
  <si>
    <t>Basic conditions ............ 100.0% (36/36)</t>
  </si>
  <si>
    <t>Modified conditions ......... 100.0% (18/18)</t>
  </si>
  <si>
    <t>CBE_MON_VFSG_ASG_DIFFERENTIAL_FAULT_PROTECTION_LOGIC :</t>
  </si>
  <si>
    <t>Basic conditions ............ 100.0% (106/106)</t>
  </si>
  <si>
    <t>Modified conditions ......... 100.0% (53/53)</t>
  </si>
  <si>
    <t>CBE_MON_VFSG_ASG_DC_CONTENT_PROTECTION_LOGIC :</t>
  </si>
  <si>
    <t>CBE_MON_VFSG_ASG_TIE_BUS_DP_LOGIC :</t>
  </si>
  <si>
    <t>CBE_MON_VFSG_ASG_OPEN_PHASE_PROTECTION_LOGIC :</t>
  </si>
  <si>
    <t>CBE_MON_VFSG_ASG_UNBALANCED_PARALLEL_FEEDER_PROTECTION_LOGIC :</t>
  </si>
  <si>
    <t>CBE_MON_VFSG_ASG_OPEN_GENERATOR_CT_FAULT_PROTECTION_LOGIC :</t>
  </si>
  <si>
    <t>Basic conditions ............ 100.0% (8/8)</t>
  </si>
  <si>
    <t>Modified conditions ......... 100.0% (4/4)</t>
  </si>
  <si>
    <t>CBE_MON_VFSG_ASG_ROTATING_DIODE_PROT_LOGIC :</t>
  </si>
  <si>
    <t>CBE_MON_DC_LINK_MONITOR_CIRCUIT_FAULT_PROTECTION_LOGIC :</t>
  </si>
  <si>
    <t>Basic conditions ............ 100.0% (20/20)</t>
  </si>
  <si>
    <t>Modified conditions ......... 100.0% (10/10)</t>
  </si>
  <si>
    <t>CBE_MON_VFSG_OVERFREQUENCY_PROTECTION_LOGIC :</t>
  </si>
  <si>
    <t>CBE_MON_VFSG_UNDERFREQUENCY_PROTECTION_LOGIC :</t>
  </si>
  <si>
    <t>CBE_MON_VFSG_OVERCURRENT_PROTECTION_L1_LOGIC :</t>
  </si>
  <si>
    <t>Basic conditions ............ 100.0% (216/216)</t>
  </si>
  <si>
    <t>Modified conditions ......... 100.0% (108/108)</t>
  </si>
  <si>
    <t>CBE_MON_VFSG_OVERCURRENT_PROTECTION_L2_LOGIC :</t>
  </si>
  <si>
    <t>Basic conditions ............ 100.0% (220/220)</t>
  </si>
  <si>
    <t>Modified conditions ......... 100.0% (110/110)</t>
  </si>
  <si>
    <t>CBE_MON_VFSG_OVERCURRENT_PROTECTION_R1_LOGIC :</t>
  </si>
  <si>
    <t>CBE_MON_VFSG_OVERCURRENT_PROTECTION_R2_LOGIC :</t>
  </si>
  <si>
    <t>CBE_MON_VFSG_UNDERVOLTAGE_2_PROTECTION_MONITOR_L1_LOGIC :</t>
  </si>
  <si>
    <t>Basic conditions ............ 100.0% (50/50)</t>
  </si>
  <si>
    <t>Modified conditions ......... 100.0% (25/25)</t>
  </si>
  <si>
    <t>CBE_MON_VFSG_UNDERVOLTAGE_2_PROTECTION_MONITOR_L2_LOGIC :</t>
  </si>
  <si>
    <t>Basic conditions ............ 100.0% (48/48)</t>
  </si>
  <si>
    <t>Modified conditions ......... 100.0% (24/24)</t>
  </si>
  <si>
    <t>CBE_MON_VFSG_UNDERVOLTAGE_2_PROTECTION_MONITOR_R1_LOGIC :</t>
  </si>
  <si>
    <t>CBE_MON_VFSG_UNDERVOLTAGE_2_PROTECTION_MONITOR_R2_LOGIC :</t>
  </si>
  <si>
    <t>CBE_MON_ASG_OVERFREQUENCY_1_PROTECTION_LOGIC :</t>
  </si>
  <si>
    <t>CBE_MON_ASG_OVERFREQUENCY_2_PROTECTION_LOGIC :</t>
  </si>
  <si>
    <t>CBE_MON_ASG_UNDERFREQUENCY_PROTECTION_LOGIC :</t>
  </si>
  <si>
    <t>CBE_MON_ASG_OVERCURRENT_PROTECTION_LA_LOGIC :</t>
  </si>
  <si>
    <t>Basic conditions ............ 100.0% (280/280)</t>
  </si>
  <si>
    <t>Modified conditions ......... 100.0% (140/140)</t>
  </si>
  <si>
    <t>CBE_MON_ASG_OVERCURRENT_PROTECTION_RA_LOGIC :</t>
  </si>
  <si>
    <t>CBE_MON_ASG_UNDERVOLTAGE_2_PROTECTION_LA_LOGIC :</t>
  </si>
  <si>
    <t>CBE_MON_ASG_UNDERVOLTAGE_2_PROTECTION_RA_LOGIC :</t>
  </si>
  <si>
    <t>CBE_MON_EP_OVERVOLTAGE_OV_PROTECTION_LOGIC :</t>
  </si>
  <si>
    <t>CBE_MON_EP_UNDERVOLTAGE_UV_PROTECTION_LOGIC :</t>
  </si>
  <si>
    <t>CBE_MON_EP_OVERCURRENT_PROTECTION_LOGIC :</t>
  </si>
  <si>
    <t>CBE_MON_EP_OPEN_PHASE_PROTECTION_LOGIC :</t>
  </si>
  <si>
    <t>CBE_MON_EP_DC_CONTENT_PROTECTION_LOGIC :</t>
  </si>
  <si>
    <t>Basic conditions ............ 100.0% (18/18)</t>
  </si>
  <si>
    <t>Modified conditions ......... 100.0% (9/9)</t>
  </si>
  <si>
    <t>CBE_MON_RMS235V_BUS_UNDERVOLTAGE_PROT_LOGIC :</t>
  </si>
  <si>
    <t>CBE_MON_ATRU_OVERTEMP_PROT_235V_BUS_LOGIC :</t>
  </si>
  <si>
    <t>CBE_MON_EP_ATRU_OVERTEMP_PROT_LOGIC :</t>
  </si>
  <si>
    <t>CBE_MON_ATRUC_PROT_TRIP_REQ_CMSC1_LOGIC :</t>
  </si>
  <si>
    <t>CBE_MON_ATRUC_PROT_TRIP_REQ_CMSC2_LOGIC :</t>
  </si>
  <si>
    <t>CBE_MON_ATRUC_PROT_TRIP_REQ_RFMC_LOGIC :</t>
  </si>
  <si>
    <t>CBE_MON_ELCU_ATRUC_PROTECTIVE_TRIP_REQUEST_LOGIC :</t>
  </si>
  <si>
    <t>CBE_MON_ELCU_ATUC_PROTECTIVE_TRIP_REQUEST_LOGIC :</t>
  </si>
  <si>
    <t>CBE_MON_GCB_APB_FAIL_TO_OPEN_PROTECTION_MONITOR_LOGIC :</t>
  </si>
  <si>
    <t>CBE_MON_RING_BTB_FAIL_TO_OPEN_PROTECTION_MONITOR_LOGIC :</t>
  </si>
  <si>
    <t>CBE_MON_TIE_BTB_FAIL_TO_OPEN_1_PROTECTION_MONITOR_LOGIC :</t>
  </si>
  <si>
    <t>Basic conditions ............ 100.0% (12/12)</t>
  </si>
  <si>
    <t>Modified conditions ......... 100.0% (6/6)</t>
  </si>
  <si>
    <t>CBE_MON_ATRUC_FAIL_TO_OPEN_PROTECTION_MONITOR_LOGIC :</t>
  </si>
  <si>
    <t>CBE_MON_ATUC_FAIL_TO_OPEN_1_PROTECTION_GEN_TO_EP_LOGIC :</t>
  </si>
  <si>
    <t>CBE_MON_ATUC_FAIL_TO_OPEN_2_PROTECTION_EP_TO_GEN_LOGIC :</t>
  </si>
  <si>
    <t>CBE_MON_TTP_BUS_A_ERROR_LOGIC :</t>
  </si>
  <si>
    <t>Basic conditions ............ 100.0% (22/22)</t>
  </si>
  <si>
    <t>Modified conditions ......... 100.0% (11/11)</t>
  </si>
  <si>
    <t>CBE_MON_TTP_BUS_B_ERROR_LOGIC :</t>
  </si>
  <si>
    <t>CBE_MON_R2_ATRUC_SOFT_START_HOLD_DRIVER_CMD_ON_MONITOR_LOGIC :</t>
  </si>
  <si>
    <t>CBE_MON_OC2_EVENT_FAULT_MONITOR_L1_GCU_LOGIC :</t>
  </si>
  <si>
    <t>CBE_MON_OC2_EVENT_FAULT_MONITOR_L2_GCU_LOGIC :</t>
  </si>
  <si>
    <t>CBE_MON_OC2_EVENT_FAULT_MONITOR_R1_GCU_LOGIC :</t>
  </si>
  <si>
    <t>CBE_MON_OC2_EVENT_FAULT_MONITOR_R2_GCU_LOGIC :</t>
  </si>
  <si>
    <t>CBE_MON_OC2_EVENT_FAULT_MONITOR_LA_GCU_LOGIC :</t>
  </si>
  <si>
    <t>CBE_MON_OC2_EVENT_FAULT_MONITOR_RA_GCU_LOGIC :</t>
  </si>
  <si>
    <t>CBE_MON_GNR_HOLD_DRIVER_CMD_ON_MONITOR_LOGIC :</t>
  </si>
  <si>
    <t>ACBE_GENTESTLOAD</t>
  </si>
  <si>
    <t>ACBE_LOGIC.C :</t>
  </si>
  <si>
    <t>Statement blocks ............ 100.0% (240/240)</t>
  </si>
  <si>
    <t>Implicit blocks .............   0.0% (0/6)</t>
  </si>
  <si>
    <t>Decisions ...................  97.6% (240/246)</t>
  </si>
  <si>
    <t>Basic conditions ............  99.5% (1269/1275)</t>
  </si>
  <si>
    <t>Modified conditions ......... 100.0% (515/515)</t>
  </si>
  <si>
    <t>CBE_ExecuteLogic :</t>
  </si>
  <si>
    <t>/default, line 691</t>
  </si>
  <si>
    <t>/then/default, line 1058</t>
  </si>
  <si>
    <t>/else/then/default, line 1517</t>
  </si>
  <si>
    <t>/else/else/else/then/default, line 1958</t>
  </si>
  <si>
    <t>/else/else/else/else/then/default, line 2375</t>
  </si>
  <si>
    <t>/else/else/else/else/else/else, line 2470</t>
  </si>
  <si>
    <t>"implicit default", line 662</t>
  </si>
  <si>
    <t>"implicit default", line 1039</t>
  </si>
  <si>
    <t>"implicit default", line 1498</t>
  </si>
  <si>
    <t>"implicit default", line 1939</t>
  </si>
  <si>
    <t>"implicit default", line 2356</t>
  </si>
  <si>
    <t>"CBE_ConfigTable.CBE_LruData_ ..." False, line 2433</t>
  </si>
  <si>
    <t>ACBE_LOGIC</t>
  </si>
  <si>
    <t>ACINTERLOCK.C :</t>
  </si>
  <si>
    <t>Statement blocks ............ 100.0% (12/12)</t>
  </si>
  <si>
    <t>Implicit blocks ............. 100.0% (2/2)</t>
  </si>
  <si>
    <t>Decisions ................... 100.0% (14/14)</t>
  </si>
  <si>
    <t>AcInterlock_Init :</t>
  </si>
  <si>
    <t>AcInterlock :</t>
  </si>
  <si>
    <t>Statement blocks ............ 100.0% (11/11)</t>
  </si>
  <si>
    <t>Decisions ................... 100.0% (13/13)</t>
  </si>
  <si>
    <t>ACINTERLOCK</t>
  </si>
  <si>
    <t>ADJATRUCCONTROL.C :</t>
  </si>
  <si>
    <t>Statement blocks ............  90.9% (20/22)</t>
  </si>
  <si>
    <t>Decisions ...................  91.7% (22/24)</t>
  </si>
  <si>
    <t>Basic conditions ............  95.8% (46/48)</t>
  </si>
  <si>
    <t>Modified conditions ......... 100.0% (14/14)</t>
  </si>
  <si>
    <t>AdjATRUCControl_Init :</t>
  </si>
  <si>
    <t>AdjATRUCControl_Disable :</t>
  </si>
  <si>
    <t>AdjATRUCControl_Start :</t>
  </si>
  <si>
    <t>AdjATRUCControl :</t>
  </si>
  <si>
    <t>Statement blocks ............  89.5% (17/19)</t>
  </si>
  <si>
    <t>/default, line 250</t>
  </si>
  <si>
    <t>/default, line 325</t>
  </si>
  <si>
    <t>Decisions ...................  90.5% (19/21)</t>
  </si>
  <si>
    <t>"default", line 250</t>
  </si>
  <si>
    <t>"default", line 325</t>
  </si>
  <si>
    <t>ADJATRUCCONTROL</t>
  </si>
  <si>
    <t>ADJATUBUSSRCPRIORITY.C :</t>
  </si>
  <si>
    <t>Statement blocks ............ 100.0% (39/39)</t>
  </si>
  <si>
    <t>Implicit blocks ............. 100.0% (1/1)</t>
  </si>
  <si>
    <t>Decisions ................... 100.0% (40/40)</t>
  </si>
  <si>
    <t>Basic conditions ............ 100.0% (100/100)</t>
  </si>
  <si>
    <t>Modified conditions ......... 100.0% (44/44)</t>
  </si>
  <si>
    <t>gcu_power_transfer_Set_L2GCU_AdjBTBStatus :</t>
  </si>
  <si>
    <t>Statement blocks ............ 100.0% (5/5)</t>
  </si>
  <si>
    <t>Decisions ................... 100.0% (5/5)</t>
  </si>
  <si>
    <t>gcu_power_transfer_Set_R2GCU_AdjBTBStatus :</t>
  </si>
  <si>
    <t>gcu_power_transfer_Set_LAGCU_AdjBTBStatus :</t>
  </si>
  <si>
    <t>gcu_power_transfer_Set_RAGCU_AdjBTBStatus :</t>
  </si>
  <si>
    <t>gcu_power_transfer_AdjBTB_Init :</t>
  </si>
  <si>
    <t>gcu_power_transfer_AdjBTB :</t>
  </si>
  <si>
    <t>Basic conditions ............ 100.0% (32/32)</t>
  </si>
  <si>
    <t>Get_AdjATUBusSrcPriority_Init :</t>
  </si>
  <si>
    <t>Get_AdjATUBusSrcPriority :</t>
  </si>
  <si>
    <t>Basic conditions ............ 100.0% (28/28)</t>
  </si>
  <si>
    <t>ADJATUBUSSRCPRIORITY</t>
  </si>
  <si>
    <t>ADJGCUUFAILSAFE.C :</t>
  </si>
  <si>
    <t>Statement blocks ............ 100.0% (4/4)</t>
  </si>
  <si>
    <t>Decisions ................... 100.0% (4/4)</t>
  </si>
  <si>
    <t>Modified conditions ......... 100.0% (23/23)</t>
  </si>
  <si>
    <t>Is_AdjGCUFailsafe_Init :</t>
  </si>
  <si>
    <t>Is_AdjGCUFailsafe :</t>
  </si>
  <si>
    <t>Statement blocks ............ 100.0% (3/3)</t>
  </si>
  <si>
    <t>Decisions ................... 100.0% (3/3)</t>
  </si>
  <si>
    <t>ADJGCUUFAILSAFE</t>
  </si>
  <si>
    <t>ADJL235BUSSRCPRIORITY.C :</t>
  </si>
  <si>
    <t>Statement blocks ............ 100.0% (6/6)</t>
  </si>
  <si>
    <t>Decisions ................... 100.0% (6/6)</t>
  </si>
  <si>
    <t>Get_AdjL235BusSrcPriority_Init :</t>
  </si>
  <si>
    <t>Get_AdjL235BusSrcPriority :</t>
  </si>
  <si>
    <t>ADJL235BUSSRCPRIORITY</t>
  </si>
  <si>
    <t>ADJR235BUSSRCPRIORITY.C :</t>
  </si>
  <si>
    <t>Get_AdjR235BusSrcPriority_Init :</t>
  </si>
  <si>
    <t>Get_AdjR235BusSrcPriority :</t>
  </si>
  <si>
    <t>ADJR235BUSSRCPRIORITY</t>
  </si>
  <si>
    <t>AEP_POWER_AVAILABILITY.C :</t>
  </si>
  <si>
    <t>Statement blocks ............  88.5% (23/26)</t>
  </si>
  <si>
    <t>Implicit blocks ............. 100.0% (3/3)</t>
  </si>
  <si>
    <t>Decisions ...................  89.7% (26/29)</t>
  </si>
  <si>
    <t>Basic conditions ............  95.7% (66/69)</t>
  </si>
  <si>
    <t>Modified conditions ......... 100.0% (22/22)</t>
  </si>
  <si>
    <t>AEP_Power_Availability_Init :</t>
  </si>
  <si>
    <t>AEP_Power_Availability_Disable :</t>
  </si>
  <si>
    <t>AEP_Power_Availability_Start :</t>
  </si>
  <si>
    <t>AEP_Power_Availability :</t>
  </si>
  <si>
    <t>Statement blocks ............  87.0% (20/23)</t>
  </si>
  <si>
    <t>/default, line 256</t>
  </si>
  <si>
    <t>/default, line 379</t>
  </si>
  <si>
    <t>/default, line 481</t>
  </si>
  <si>
    <t>Decisions ...................  88.5% (23/26)</t>
  </si>
  <si>
    <t>"default", line 256</t>
  </si>
  <si>
    <t>"default", line 379</t>
  </si>
  <si>
    <t>"default", line 481</t>
  </si>
  <si>
    <t>AEP_POWER_AVAILABILITY</t>
  </si>
  <si>
    <t>AEPC.C :</t>
  </si>
  <si>
    <t>Statement blocks ............  97.6% (83/85)</t>
  </si>
  <si>
    <t>Implicit blocks ............. 100.0% (10/10)</t>
  </si>
  <si>
    <t>Decisions ...................  97.9% (93/95)</t>
  </si>
  <si>
    <t>Basic conditions ............  97.9% (95/97)</t>
  </si>
  <si>
    <t>AEPC_Init :</t>
  </si>
  <si>
    <t>AEPC_Disable :</t>
  </si>
  <si>
    <t>AEPC_Start :</t>
  </si>
  <si>
    <t>AEPC :</t>
  </si>
  <si>
    <t>Statement blocks ............  97.6% (80/82)</t>
  </si>
  <si>
    <t>/default, line 579</t>
  </si>
  <si>
    <t>/default, line 760</t>
  </si>
  <si>
    <t>Decisions ...................  97.8% (90/92)</t>
  </si>
  <si>
    <t>"default", line 579</t>
  </si>
  <si>
    <t>"default", line 760</t>
  </si>
  <si>
    <t>AEPC</t>
  </si>
  <si>
    <t>AEPCCHATTERPROTECTION.C :</t>
  </si>
  <si>
    <t>Statement blocks ............ 100.0% (44/44)</t>
  </si>
  <si>
    <t>Decisions ................... 100.0% (46/46)</t>
  </si>
  <si>
    <t>AepcChatterProtection_Init :</t>
  </si>
  <si>
    <t>AepcChatterProtection_Start :</t>
  </si>
  <si>
    <t>AepcChatterProtection :</t>
  </si>
  <si>
    <t>Statement blocks ............ 100.0% (41/41)</t>
  </si>
  <si>
    <t>Decisions ................... 100.0% (43/43)</t>
  </si>
  <si>
    <t>AepcChatterProtection_Term :</t>
  </si>
  <si>
    <t>AEPCCHATTERPROTECTION</t>
  </si>
  <si>
    <t>AEPCCONTROL.C :</t>
  </si>
  <si>
    <t>Statement blocks ............  94.3% (33/35)</t>
  </si>
  <si>
    <t>Implicit blocks ............. 100.0% (5/5)</t>
  </si>
  <si>
    <t>Decisions ...................  95.0% (38/40)</t>
  </si>
  <si>
    <t>Basic conditions ............  97.1% (66/68)</t>
  </si>
  <si>
    <t>Modified conditions ......... 100.0% (17/17)</t>
  </si>
  <si>
    <t>AEPCControl_Init :</t>
  </si>
  <si>
    <t>AEPCControl_Disable :</t>
  </si>
  <si>
    <t>AEPCControl_Start :</t>
  </si>
  <si>
    <t>AEPCControl :</t>
  </si>
  <si>
    <t>Statement blocks ............  93.8% (30/32)</t>
  </si>
  <si>
    <t>/default, line 395</t>
  </si>
  <si>
    <t>/default, line 471</t>
  </si>
  <si>
    <t>Decisions ...................  94.6% (35/37)</t>
  </si>
  <si>
    <t>"default", line 395</t>
  </si>
  <si>
    <t>"default", line 471</t>
  </si>
  <si>
    <t>AEPCCONTROL</t>
  </si>
  <si>
    <t>AEPCFTCPROTECTION.C :</t>
  </si>
  <si>
    <t>AepcFtcProtection_Init :</t>
  </si>
  <si>
    <t>AepcFtcProtection_Start :</t>
  </si>
  <si>
    <t>AepcFtcProtection :</t>
  </si>
  <si>
    <t>AepcFtcProtection_Term :</t>
  </si>
  <si>
    <t>AEPCFTCPROTECTION</t>
  </si>
  <si>
    <t>AEPRECPTLAMP.C :</t>
  </si>
  <si>
    <t>Statement blocks ............  91.7% (11/12)</t>
  </si>
  <si>
    <t>Decisions ...................  92.3% (12/13)</t>
  </si>
  <si>
    <t>Basic conditions ............  92.3% (12/13)</t>
  </si>
  <si>
    <t>AEPReceptLamp_Init :</t>
  </si>
  <si>
    <t>AEPReceptLamp_Disable :</t>
  </si>
  <si>
    <t>AEPReceptLamp_Start :</t>
  </si>
  <si>
    <t>AEPReceptLamp :</t>
  </si>
  <si>
    <t>Statement blocks ............  88.9% (8/9)</t>
  </si>
  <si>
    <t>/default, line 201</t>
  </si>
  <si>
    <t>Decisions ...................  90.0% (9/10)</t>
  </si>
  <si>
    <t>"default", line 201</t>
  </si>
  <si>
    <t>AEPRECPTLAMP</t>
  </si>
  <si>
    <t>AEPSWTLAMP.C :</t>
  </si>
  <si>
    <t>AEPSwtLamp_Init :</t>
  </si>
  <si>
    <t>AEPSwtLamp_Disable :</t>
  </si>
  <si>
    <t>AEPSwtLamp_Start :</t>
  </si>
  <si>
    <t>AEPSwtLamp :</t>
  </si>
  <si>
    <t>/default, line 200</t>
  </si>
  <si>
    <t>"default", line 200</t>
  </si>
  <si>
    <t>AEPSWTLAMP</t>
  </si>
  <si>
    <t>AFSR_CALLBACK.C :</t>
  </si>
  <si>
    <t>Statement blocks ............ 100.0% (204/204)</t>
  </si>
  <si>
    <t>Decisions ................... 100.0% (205/205)</t>
  </si>
  <si>
    <t>Basic conditions ............ 100.0% (201/201)</t>
  </si>
  <si>
    <t>FSR_ApplOnFrStatusChange :</t>
  </si>
  <si>
    <t>Statement blocks ............ 100.0% (201/201)</t>
  </si>
  <si>
    <t>Decisions ................... 100.0% (202/202)</t>
  </si>
  <si>
    <t>FSR_ApplOnError :</t>
  </si>
  <si>
    <t>FSR_ApplIsAircraftChange :</t>
  </si>
  <si>
    <t>FSR_ApplIsFlightChange :</t>
  </si>
  <si>
    <t>AFSR_CALLBACK</t>
  </si>
  <si>
    <t>AFTEPATRUHVDCUVPROT.C :</t>
  </si>
  <si>
    <t>AftEpAtruHvdcUvProt_Init :</t>
  </si>
  <si>
    <t>AftEpAtruHvdcUvProt :</t>
  </si>
  <si>
    <t>AFTEPATRUHVDCUVPROT</t>
  </si>
  <si>
    <t>AFTEPATRUOTPROT.C :</t>
  </si>
  <si>
    <t>Statement blocks ............ 100.0% (2/2)</t>
  </si>
  <si>
    <t>Decisions ................... 100.0% (2/2)</t>
  </si>
  <si>
    <t>AftEpAtruOtProt_Init :</t>
  </si>
  <si>
    <t>AftEpAtruOtProt :</t>
  </si>
  <si>
    <t>AFTEPATRUOTPROT</t>
  </si>
  <si>
    <t>AFTEPATRUSATURATION.C :</t>
  </si>
  <si>
    <t>Basic conditions ............ 100.0% (16/16)</t>
  </si>
  <si>
    <t>Modified conditions ......... 100.0% (8/8)</t>
  </si>
  <si>
    <t>AftEpAtruSaturation_Init :</t>
  </si>
  <si>
    <t>AftEpAtruSaturation :</t>
  </si>
  <si>
    <t>AFTEPATRUSATURATION</t>
  </si>
  <si>
    <t>AFTEPMAINTENANCE.C :</t>
  </si>
  <si>
    <t>Statement blocks ............ 100.0% (7/7)</t>
  </si>
  <si>
    <t>Decisions ................... 100.0% (7/7)</t>
  </si>
  <si>
    <t>AftEpMaintenance :</t>
  </si>
  <si>
    <t>AFTEPMAINTENANCE</t>
  </si>
  <si>
    <t>AGCUOC2LOCKRESETS.C :</t>
  </si>
  <si>
    <t>Basic conditions ............ 100.0% (134/134)</t>
  </si>
  <si>
    <t>Modified conditions ......... 100.0% (67/67)</t>
  </si>
  <si>
    <t>AgcuOc2LockResets :</t>
  </si>
  <si>
    <t>AGCUOC2LOCKRESETS</t>
  </si>
  <si>
    <t>AIR2GNDOPTST.C :</t>
  </si>
  <si>
    <t>Basic conditions ............ 100.0% (91/91)</t>
  </si>
  <si>
    <t>Modified conditions ......... 100.0% (28/28)</t>
  </si>
  <si>
    <t>OperationalTests_enter_internal_c8_OperationalTest :</t>
  </si>
  <si>
    <t>OperationalTests_Is_OpTstRdy_k :</t>
  </si>
  <si>
    <t>Basic conditions ............ 100.0% (2/2)</t>
  </si>
  <si>
    <t>OperationalTests_Is_OpTstTimedOut_c :</t>
  </si>
  <si>
    <t>OperationalTests_Is_OpTstMode1Complete_k :</t>
  </si>
  <si>
    <t>OperationalTests_Is_OpTstMode2Complete_n :</t>
  </si>
  <si>
    <t>OperationalTests_Is_OpTstStart_l :</t>
  </si>
  <si>
    <t>Statement blocks ............ 100.0% (9/9)</t>
  </si>
  <si>
    <t>Decisions ................... 100.0% (9/9)</t>
  </si>
  <si>
    <t>Basic conditions ............ 100.0% (14/14)</t>
  </si>
  <si>
    <t>Modified conditions ......... 100.0% (5/5)</t>
  </si>
  <si>
    <t>Air2GndOpTst_Scheduler_Init :</t>
  </si>
  <si>
    <t>Air2GndOpTst_Scheduler :</t>
  </si>
  <si>
    <t>Statement blocks ............ 100.0% (30/30)</t>
  </si>
  <si>
    <t>Decisions ................... 100.0% (30/30)</t>
  </si>
  <si>
    <t>Basic conditions ............ 100.0% (37/37)</t>
  </si>
  <si>
    <t>Modified conditions ......... 100.0% (7/7)</t>
  </si>
  <si>
    <t>Is_Air2GndOpTstArmed_Init :</t>
  </si>
  <si>
    <t>Is_Air2GndOpTstArmed :</t>
  </si>
  <si>
    <t>Air2GndOpTst_Init :</t>
  </si>
  <si>
    <t>Air2GndOpTst :</t>
  </si>
  <si>
    <t>AIR2GNDOPTST</t>
  </si>
  <si>
    <t>AIR2GNDOPTSTMODE1.C :</t>
  </si>
  <si>
    <t>Statement blocks ............ 100.0% (15/15)</t>
  </si>
  <si>
    <t>Decisions ................... 100.0% (18/18)</t>
  </si>
  <si>
    <t>Air2GndOpTstMode1_Scheduler_Init :</t>
  </si>
  <si>
    <t>Air2GndOpTstMode1_Scheduler :</t>
  </si>
  <si>
    <t>Decisions ................... 100.0% (15/15)</t>
  </si>
  <si>
    <t>Air2GndOpTstMode1_Init :</t>
  </si>
  <si>
    <t>Air2GndOpTstMode1 :</t>
  </si>
  <si>
    <t>AIR2GNDOPTSTMODE1</t>
  </si>
  <si>
    <t>AIR2GNDOPTSTMODE1_HOTBATTERYFEEDFET.C :</t>
  </si>
  <si>
    <t>Statement blocks ............ 100.0% (35/35)</t>
  </si>
  <si>
    <t>Implicit blocks ............. 100.0% (4/4)</t>
  </si>
  <si>
    <t>Decisions ................... 100.0% (39/39)</t>
  </si>
  <si>
    <t>Basic conditions ............ 100.0% (51/51)</t>
  </si>
  <si>
    <t>Air2GndTstMode1_HotBatteryFeedFET_Init :</t>
  </si>
  <si>
    <t>Air2GndTstMode1_HotBatteryFeedFET :</t>
  </si>
  <si>
    <t>Statement blocks ............ 100.0% (34/34)</t>
  </si>
  <si>
    <t>Decisions ................... 100.0% (38/38)</t>
  </si>
  <si>
    <t>AIR2GNDOPTSTMODE1_HOTBATTERYFE</t>
  </si>
  <si>
    <t>AIR2GNDOPTSTMODE2.C :</t>
  </si>
  <si>
    <t>Statement blocks ............ 100.0% (21/21)</t>
  </si>
  <si>
    <t>Decisions ................... 100.0% (25/25)</t>
  </si>
  <si>
    <t>Basic conditions ............ 100.0% (23/23)</t>
  </si>
  <si>
    <t>Air2GndOpTstMode2_Scheduler_Init :</t>
  </si>
  <si>
    <t>Air2GndOpTstMode2_Scheduler :</t>
  </si>
  <si>
    <t>Statement blocks ............ 100.0% (18/18)</t>
  </si>
  <si>
    <t>Decisions ................... 100.0% (22/22)</t>
  </si>
  <si>
    <t>Air2GndOpTstMode2_Init :</t>
  </si>
  <si>
    <t>Air2GndOpTstMode2 :</t>
  </si>
  <si>
    <t>AIR2GNDOPTSTMODE2</t>
  </si>
  <si>
    <t>AIR2GNDOPTSTMODE2_FAN1.C :</t>
  </si>
  <si>
    <t>Statement blocks ............ 100.0% (31/31)</t>
  </si>
  <si>
    <t>Decisions ................... 100.0% (35/35)</t>
  </si>
  <si>
    <t>Basic conditions ............ 100.0% (47/47)</t>
  </si>
  <si>
    <t>Air2GndOpTstMode2_Fan1_Init :</t>
  </si>
  <si>
    <t>Air2GndOpTstMode2_Fan1 :</t>
  </si>
  <si>
    <t>Decisions ................... 100.0% (34/34)</t>
  </si>
  <si>
    <t>AIR2GNDOPTSTMODE2_FAN1</t>
  </si>
  <si>
    <t>AIR2GNDOPTSTMODE2_FAN2.C :</t>
  </si>
  <si>
    <t>Air2GndOpTstMode2_Fan2_Init :</t>
  </si>
  <si>
    <t>Air2GndOpTstMode2_Fan2 :</t>
  </si>
  <si>
    <t>AIR2GNDOPTSTMODE2_FAN2</t>
  </si>
  <si>
    <t>AIR2GNDOPTSTTOPLEVEL.C :</t>
  </si>
  <si>
    <t>Air2GndOpTstTopLevel_Init :</t>
  </si>
  <si>
    <t>Air2GndOpTstTopLevel :</t>
  </si>
  <si>
    <t>AIR2GNDOPTSTTOPLEVEL</t>
  </si>
  <si>
    <t>ANY_LRUFAILED.C :</t>
  </si>
  <si>
    <t>Any_LRUFailed :</t>
  </si>
  <si>
    <t>ANY_LRUFAILED</t>
  </si>
  <si>
    <t>ASGENGSTART.C :</t>
  </si>
  <si>
    <t>Statement blocks ............  88.2% (15/17)</t>
  </si>
  <si>
    <t>Decisions ...................  88.9% (16/18)</t>
  </si>
  <si>
    <t>Basic conditions ............  93.8% (30/32)</t>
  </si>
  <si>
    <t>AsgEngStart_Init :</t>
  </si>
  <si>
    <t>AsgEngStart_Disable :</t>
  </si>
  <si>
    <t>AsgEngStart_Start :</t>
  </si>
  <si>
    <t>AsgEngStart :</t>
  </si>
  <si>
    <t>Statement blocks ............  85.7% (12/14)</t>
  </si>
  <si>
    <t>/default, line 232</t>
  </si>
  <si>
    <t>/default, line 311</t>
  </si>
  <si>
    <t>Decisions ...................  86.7% (13/15)</t>
  </si>
  <si>
    <t>"default", line 232</t>
  </si>
  <si>
    <t>"default", line 311</t>
  </si>
  <si>
    <t>ASGENGSTART</t>
  </si>
  <si>
    <t>ASGOC2ISOLATION.C :</t>
  </si>
  <si>
    <t>Statement blocks ............ 100.0% (22/22)</t>
  </si>
  <si>
    <t>Decisions ................... 100.0% (23/23)</t>
  </si>
  <si>
    <t>Basic conditions ............ 100.0% (177/177)</t>
  </si>
  <si>
    <t>Modified conditions ......... 100.0% (80/80)</t>
  </si>
  <si>
    <t>AsgOC2Isolation_Init :</t>
  </si>
  <si>
    <t>AsgOC2Isolation_Start :</t>
  </si>
  <si>
    <t>AsgOC2Isolation :</t>
  </si>
  <si>
    <t>Statement blocks ............ 100.0% (19/19)</t>
  </si>
  <si>
    <t>Decisions ................... 100.0% (20/20)</t>
  </si>
  <si>
    <t>AsgOC2Isolation_Term :</t>
  </si>
  <si>
    <t>ASGOC2ISOLATION</t>
  </si>
  <si>
    <t>ASGOC2PROTECTION.C :</t>
  </si>
  <si>
    <t>AsgOc2Protection_Init :</t>
  </si>
  <si>
    <t>AsgOc2Protection :</t>
  </si>
  <si>
    <t>ASGOC2PROTECTION</t>
  </si>
  <si>
    <t>ASGOCISOLATION.C :</t>
  </si>
  <si>
    <t>Statement blocks ............ 100.0% (121/121)</t>
  </si>
  <si>
    <t>Decisions ................... 100.0% (124/124)</t>
  </si>
  <si>
    <t>Basic conditions ............ 100.0% (188/188)</t>
  </si>
  <si>
    <t>Modified conditions ......... 100.0% (38/38)</t>
  </si>
  <si>
    <t>VfsgAsgProtections_enter_internal_c19_VfsgAsgProte :</t>
  </si>
  <si>
    <t>VfsgAsgProtections_Idle_c :</t>
  </si>
  <si>
    <t>Basic conditions ............ 100.0% (54/54)</t>
  </si>
  <si>
    <t>Modified conditions ......... 100.0% (26/26)</t>
  </si>
  <si>
    <t>VfsgAsgProtections_FaultDetected_o :</t>
  </si>
  <si>
    <t>Decisions ................... 100.0% (19/19)</t>
  </si>
  <si>
    <t>VfsgAsgProtections_IsolateLLS1_a :</t>
  </si>
  <si>
    <t>VfsgAsgProtections_IsolateLLS2_b :</t>
  </si>
  <si>
    <t>VfsgAsgProtections_AgenOnTie :</t>
  </si>
  <si>
    <t>VfsgAsgProtections_IsolateOC_Init :</t>
  </si>
  <si>
    <t>VfsgAsgProtections_IsolateOC :</t>
  </si>
  <si>
    <t>Statement blocks ............ 100.0% (83/83)</t>
  </si>
  <si>
    <t>Decisions ................... 100.0% (83/83)</t>
  </si>
  <si>
    <t>Basic conditions ............ 100.0% (82/82)</t>
  </si>
  <si>
    <t>AsgOcIsolation_Init :</t>
  </si>
  <si>
    <t>AsgOcIsolation_Start :</t>
  </si>
  <si>
    <t>AsgOcIsolation :</t>
  </si>
  <si>
    <t>AsgOcIsolation_Term :</t>
  </si>
  <si>
    <t>ASGOCISOLATION</t>
  </si>
  <si>
    <t>ASGOCPROTECTION.C :</t>
  </si>
  <si>
    <t>Decisions ................... 100.0% (24/24)</t>
  </si>
  <si>
    <t>Basic conditions ............ 100.0% (26/26)</t>
  </si>
  <si>
    <t>AsgOcProtection_Init :</t>
  </si>
  <si>
    <t>AsgOcProtection :</t>
  </si>
  <si>
    <t>ASGOCPROTECTION</t>
  </si>
  <si>
    <t>ASGOF1PROTECTION.C :</t>
  </si>
  <si>
    <t>AsgOf1Protection_Init :</t>
  </si>
  <si>
    <t>AsgOf1Protection :</t>
  </si>
  <si>
    <t>ASGOF1PROTECTION</t>
  </si>
  <si>
    <t>ASGOF2PROTECTION.C :</t>
  </si>
  <si>
    <t>AsgOf2Protection_Init :</t>
  </si>
  <si>
    <t>AsgOf2Protection :</t>
  </si>
  <si>
    <t>ASGOF2PROTECTION</t>
  </si>
  <si>
    <t>ASGSRDFAILSAFEPROTECTION.C :</t>
  </si>
  <si>
    <t>Basic conditions ............ 100.0% (92/92)</t>
  </si>
  <si>
    <t>Modified conditions ......... 100.0% (46/46)</t>
  </si>
  <si>
    <t>AsgSrdFailsafeProtection_Init :</t>
  </si>
  <si>
    <t>AsgSrdFailsafeProtection_Start :</t>
  </si>
  <si>
    <t>AsgSrdFailsafeProtection :</t>
  </si>
  <si>
    <t>AsgSrdFailsafeProtection_Term :</t>
  </si>
  <si>
    <t>ASGSRDFAILSAFEPROTECTION</t>
  </si>
  <si>
    <t>ASGUFPROTECTION.C :</t>
  </si>
  <si>
    <t>AsgUfProtection_Init :</t>
  </si>
  <si>
    <t>AsgUfProtection :</t>
  </si>
  <si>
    <t>ASGUFPROTECTION</t>
  </si>
  <si>
    <t>ASGUNDERSPEED.C :</t>
  </si>
  <si>
    <t>AsgUnderspeed_Init :</t>
  </si>
  <si>
    <t>AsgUnderspeed :</t>
  </si>
  <si>
    <t>ASGUNDERSPEED</t>
  </si>
  <si>
    <t>ASGUSCYCLING.C :</t>
  </si>
  <si>
    <t>Basic conditions ............ 100.0% (30/30)</t>
  </si>
  <si>
    <t>Modified conditions ......... 100.0% (15/15)</t>
  </si>
  <si>
    <t>AsgUSCycling_Init :</t>
  </si>
  <si>
    <t>AsgUSCycling_Start :</t>
  </si>
  <si>
    <t>AsgUSCycling :</t>
  </si>
  <si>
    <t>AsgUSCycling_Term :</t>
  </si>
  <si>
    <t>ASGUSCYCLING</t>
  </si>
  <si>
    <t>ASGUV2PROTECTION.C :</t>
  </si>
  <si>
    <t>Statement blocks ............ 100.0% (147/147)</t>
  </si>
  <si>
    <t>Decisions ................... 100.0% (149/149)</t>
  </si>
  <si>
    <t>Basic conditions ............ 100.0% (199/199)</t>
  </si>
  <si>
    <t>Modified conditions ......... 100.0% (32/32)</t>
  </si>
  <si>
    <t>VfsgAsgProtections_enter_internal_c16_VfsgAsgProte :</t>
  </si>
  <si>
    <t>VfsgAsgProtections_Idle :</t>
  </si>
  <si>
    <t>VfsgAsgProtections_FaultDetected :</t>
  </si>
  <si>
    <t>Statement blocks ............ 100.0% (16/16)</t>
  </si>
  <si>
    <t>Decisions ................... 100.0% (17/17)</t>
  </si>
  <si>
    <t>VfsgAsgProtections_IsolateMBR1 :</t>
  </si>
  <si>
    <t>VfsgAsgProtections_IsolateMBL1 :</t>
  </si>
  <si>
    <t>VfsgAsgProtections_LGenLastSource :</t>
  </si>
  <si>
    <t>VfsgAsgProtections_IsolateLLS1 :</t>
  </si>
  <si>
    <t>VfsgAsgProtections_IsolateLLS2 :</t>
  </si>
  <si>
    <t>VfsgAsgProtections_IsolateRLS1 :</t>
  </si>
  <si>
    <t>VfsgAsgProtections_IsolateRLS2 :</t>
  </si>
  <si>
    <t>VfsgAsgProtections_IsolateUV2_Init :</t>
  </si>
  <si>
    <t>VfsgAsgProtections_IsolateUV2 :</t>
  </si>
  <si>
    <t>Statement blocks ............ 100.0% (82/82)</t>
  </si>
  <si>
    <t>Decisions ................... 100.0% (82/82)</t>
  </si>
  <si>
    <t>Basic conditions ............ 100.0% (81/81)</t>
  </si>
  <si>
    <t>AsgUv2Protection_Init :</t>
  </si>
  <si>
    <t>AsgUv2Protection :</t>
  </si>
  <si>
    <t>ASGUV2PROTECTION</t>
  </si>
  <si>
    <t>ATRUC.C :</t>
  </si>
  <si>
    <t>Statement blocks ............  96.4% (132/137)</t>
  </si>
  <si>
    <t>Implicit blocks ............. 100.0% (17/17)</t>
  </si>
  <si>
    <t>Decisions ...................  96.8% (149/154)</t>
  </si>
  <si>
    <t>Basic conditions ............  95.2% (240/252)</t>
  </si>
  <si>
    <t>Modified conditions .........  89.9% (62/69)</t>
  </si>
  <si>
    <t>DetermineSPUBInterlock_Init :</t>
  </si>
  <si>
    <t>DetermineSPUBInterlock_Start :</t>
  </si>
  <si>
    <t>DetermineSPUBInterlock :</t>
  </si>
  <si>
    <t>Is_ATRUCLoadShedAllowed_Init :</t>
  </si>
  <si>
    <t>Is_ATRUCLoadShedAllowed_Disable :</t>
  </si>
  <si>
    <t>Is_ATRUCLoadShedAllowed_Start :</t>
  </si>
  <si>
    <t>Is_ATRUCLoadShedAllowed :</t>
  </si>
  <si>
    <t>/default, line 475</t>
  </si>
  <si>
    <t>Basic conditions ............  97.9% (46/47)</t>
  </si>
  <si>
    <t>"default", line 475</t>
  </si>
  <si>
    <t>Modified conditions ......... 100.0% (19/19)</t>
  </si>
  <si>
    <t>ATRUC_Init :</t>
  </si>
  <si>
    <t>ATRUC_Disable :</t>
  </si>
  <si>
    <t>ATRUC_Start :</t>
  </si>
  <si>
    <t>ATRUC :</t>
  </si>
  <si>
    <t>Statement blocks ............  96.6% (114/118)</t>
  </si>
  <si>
    <t>/else/then, line 1105</t>
  </si>
  <si>
    <t>/default, line 1424</t>
  </si>
  <si>
    <t>/default, line 1605</t>
  </si>
  <si>
    <t>/default, line 1788</t>
  </si>
  <si>
    <t>Implicit blocks ............. 100.0% (16/16)</t>
  </si>
  <si>
    <t>Decisions ...................  97.0% (130/134)</t>
  </si>
  <si>
    <t>Basic conditions ............  94.2% (180/191)</t>
  </si>
  <si>
    <t>"(type-cast)(0)" True, line 969</t>
  </si>
  <si>
    <t>"(type-cast)(0)" True, line 982</t>
  </si>
  <si>
    <t>"(type-cast)(0)" True, line 1015</t>
  </si>
  <si>
    <t>"(type-cast)(0)" True, line 1042</t>
  </si>
  <si>
    <t>"(type-cast)(0)" True, line 1105</t>
  </si>
  <si>
    <t>"(type-cast)(0)" True, line 1163</t>
  </si>
  <si>
    <t>"(type-cast)(0)" True, line 1266</t>
  </si>
  <si>
    <t>"default", line 1424</t>
  </si>
  <si>
    <t>"default", line 1605</t>
  </si>
  <si>
    <t>"default", line 1788</t>
  </si>
  <si>
    <t>Modified conditions .........  83.7% (36/43)</t>
  </si>
  <si>
    <t>"(type-cast)(0)" #2 (TF=T/TT=F), line 969</t>
  </si>
  <si>
    <t>"(type-cast)(0)" #3 (TTF=T/TTT=F), line 982</t>
  </si>
  <si>
    <t>"(type-cast)(0)" #2 (FFF=T/FTX=F), line 1015</t>
  </si>
  <si>
    <t>"(type-cast)(0)" #3 (FFF=T/FFT=F), line 1015</t>
  </si>
  <si>
    <t>"(type-cast)(0)" #2 (FT=T/FF=F), line 1042</t>
  </si>
  <si>
    <t>"(type-cast)(0)" #2 (FF=T/FT=F), line 1163</t>
  </si>
  <si>
    <t>"(type-cast)(0)" #2 (FT=T/FF=F), line 1266</t>
  </si>
  <si>
    <t>ATRUC_Term :</t>
  </si>
  <si>
    <t>ATRUC</t>
  </si>
  <si>
    <t>ATRUCFTCPROTECTION.C :</t>
  </si>
  <si>
    <t>Statement blocks ............ 100.0% (8/8)</t>
  </si>
  <si>
    <t>Decisions ................... 100.0% (8/8)</t>
  </si>
  <si>
    <t>AtrucFtcProtection_Init :</t>
  </si>
  <si>
    <t>AtrucFtcProtection_Start :</t>
  </si>
  <si>
    <t>AtrucFtcProtection :</t>
  </si>
  <si>
    <t>AtrucFtcProtection_Term :</t>
  </si>
  <si>
    <t>ATRUCFTCPROTECTION</t>
  </si>
  <si>
    <t>ATRUCFTO.C :</t>
  </si>
  <si>
    <t>AtrucFTO_Init :</t>
  </si>
  <si>
    <t>AtrucFTO :</t>
  </si>
  <si>
    <t>ATRUCFTO</t>
  </si>
  <si>
    <t>ATRUCPROTTRIPRQST.C :</t>
  </si>
  <si>
    <t>Statement blocks ............  90.9% (40/44)</t>
  </si>
  <si>
    <t>Implicit blocks ............. 100.0% (9/9)</t>
  </si>
  <si>
    <t>Decisions ...................  92.5% (49/53)</t>
  </si>
  <si>
    <t>Basic conditions ............  97.4% (148/152)</t>
  </si>
  <si>
    <t>Modified conditions ......... 100.0% (54/54)</t>
  </si>
  <si>
    <t>AtrucProtTripRqst_Init :</t>
  </si>
  <si>
    <t>AtrucProtTripRqst_Disable :</t>
  </si>
  <si>
    <t>AtrucProtTripRqst_Start :</t>
  </si>
  <si>
    <t>AtrucProtTripRqst :</t>
  </si>
  <si>
    <t>Statement blocks ............  90.0% (36/40)</t>
  </si>
  <si>
    <t>/then/default, line 461</t>
  </si>
  <si>
    <t>/default, line 613</t>
  </si>
  <si>
    <t>/default, line 732</t>
  </si>
  <si>
    <t>/default, line 885</t>
  </si>
  <si>
    <t>Decisions ...................  91.8% (45/49)</t>
  </si>
  <si>
    <t>"default", line 461</t>
  </si>
  <si>
    <t>"default", line 613</t>
  </si>
  <si>
    <t>"default", line 732</t>
  </si>
  <si>
    <t>"default", line 885</t>
  </si>
  <si>
    <t>AtrucProtTripRqst_Term :</t>
  </si>
  <si>
    <t>ATRUCPROTTRIPRQST</t>
  </si>
  <si>
    <t>ATRUMAINTENANCE.C :</t>
  </si>
  <si>
    <t>Statement blocks ............ 100.0% (13/13)</t>
  </si>
  <si>
    <t>AtruMaintenance :</t>
  </si>
  <si>
    <t>ATRUMAINTENANCE</t>
  </si>
  <si>
    <t>ATRURIPPLE1PROT.C :</t>
  </si>
  <si>
    <t>BusAtruProtection_AtruRipple1Fault1Detection_Init :</t>
  </si>
  <si>
    <t>BusAtruProtection_AtruRipple1Fault1Detection :</t>
  </si>
  <si>
    <t>BusAtruProtection_AtruRipple1Fault2Detection_Init :</t>
  </si>
  <si>
    <t>BusAtruProtection_AtruRipple1Fault2Detection :</t>
  </si>
  <si>
    <t>AtruRipple1Prot_Init :</t>
  </si>
  <si>
    <t>AtruRipple1Prot :</t>
  </si>
  <si>
    <t>ATRURIPPLE1PROT</t>
  </si>
  <si>
    <t>ATRURIPPLE2PROT.C :</t>
  </si>
  <si>
    <t>Statement blocks ............  90.0% (9/10)</t>
  </si>
  <si>
    <t>Decisions ...................  90.9% (10/11)</t>
  </si>
  <si>
    <t>AtruRipple2Prot_Init :</t>
  </si>
  <si>
    <t>AtruRipple2Prot :</t>
  </si>
  <si>
    <t>/else/default, line 149</t>
  </si>
  <si>
    <t>"default", line 149</t>
  </si>
  <si>
    <t>ATRURIPPLE2PROT</t>
  </si>
  <si>
    <t>ATRURIPPLEPROT.C :</t>
  </si>
  <si>
    <t>AtruRippleProt_Init :</t>
  </si>
  <si>
    <t>AtruRippleProt :</t>
  </si>
  <si>
    <t>ATRURIPPLEPROT</t>
  </si>
  <si>
    <t>ATRUUNBVOLTPROT.C :</t>
  </si>
  <si>
    <t>Statement blocks ............ 100.0% (91/91)</t>
  </si>
  <si>
    <t>Decisions ................... 100.0% (107/107)</t>
  </si>
  <si>
    <t>Basic conditions ............ 100.0% (137/137)</t>
  </si>
  <si>
    <t>AtruUnbVoltProt_Init :</t>
  </si>
  <si>
    <t>AtruUnbVoltProt_Start :</t>
  </si>
  <si>
    <t>AtruUnbVoltProt :</t>
  </si>
  <si>
    <t>Statement blocks ............ 100.0% (88/88)</t>
  </si>
  <si>
    <t>Decisions ................... 100.0% (104/104)</t>
  </si>
  <si>
    <t>AtruUnbVoltProt_Term :</t>
  </si>
  <si>
    <t>ATRUUNBVOLTPROT</t>
  </si>
  <si>
    <t>ATUC.C :</t>
  </si>
  <si>
    <t>Statement blocks ............  98.9% (93/94)</t>
  </si>
  <si>
    <t>Implicit blocks ............. 100.0% (11/11)</t>
  </si>
  <si>
    <t>Decisions ...................  99.0% (104/105)</t>
  </si>
  <si>
    <t>Basic conditions ............  99.3% (148/149)</t>
  </si>
  <si>
    <t>Modified conditions ......... 100.0% (36/36)</t>
  </si>
  <si>
    <t>ATUC_Disable :</t>
  </si>
  <si>
    <t>ATUC_Start :</t>
  </si>
  <si>
    <t>ATUC :</t>
  </si>
  <si>
    <t>Statement blocks ............  98.9% (90/91)</t>
  </si>
  <si>
    <t>/default, line 943</t>
  </si>
  <si>
    <t>Decisions ...................  99.0% (101/102)</t>
  </si>
  <si>
    <t>"default", line 943</t>
  </si>
  <si>
    <t>ATUC_Term :</t>
  </si>
  <si>
    <t>ATUC</t>
  </si>
  <si>
    <t>ATUCFTCPROTECTION.C :</t>
  </si>
  <si>
    <t>AtucFtcProtection_Init :</t>
  </si>
  <si>
    <t>AtucFtcProtection_Start :</t>
  </si>
  <si>
    <t>AtucFtcProtection :</t>
  </si>
  <si>
    <t>AtucFtcProtection_Term :</t>
  </si>
  <si>
    <t>ATUCFTCPROTECTION</t>
  </si>
  <si>
    <t>ATUCFTO1.C :</t>
  </si>
  <si>
    <t>AtucFTO1_Init :</t>
  </si>
  <si>
    <t>AtucFTO1_Start :</t>
  </si>
  <si>
    <t>AtucFTO1 :</t>
  </si>
  <si>
    <t>AtucFTO1_Term :</t>
  </si>
  <si>
    <t>ATUCFTO1</t>
  </si>
  <si>
    <t>ATUCFTO2.C :</t>
  </si>
  <si>
    <t>AtucFTO2_Init :</t>
  </si>
  <si>
    <t>AtucFTO2_Start :</t>
  </si>
  <si>
    <t>AtucFTO2 :</t>
  </si>
  <si>
    <t>AtucFTO2_Term :</t>
  </si>
  <si>
    <t>ATUCFTO2</t>
  </si>
  <si>
    <t>ATUCFTO3.C :</t>
  </si>
  <si>
    <t>AtucFTO3_Init :</t>
  </si>
  <si>
    <t>AtucFTO3 :</t>
  </si>
  <si>
    <t>ATUCFTO3</t>
  </si>
  <si>
    <t>BBRLY.C :</t>
  </si>
  <si>
    <t>Statement blocks ............  97.3% (71/73)</t>
  </si>
  <si>
    <t>Decisions ...................  97.6% (80/82)</t>
  </si>
  <si>
    <t>Basic conditions ............  91.7% (100/109)</t>
  </si>
  <si>
    <t>Modified conditions .........  73.1% (19/26)</t>
  </si>
  <si>
    <t>BBRly_Disable :</t>
  </si>
  <si>
    <t>BBRly_Start :</t>
  </si>
  <si>
    <t>BBRly :</t>
  </si>
  <si>
    <t>Statement blocks ............  97.2% (69/71)</t>
  </si>
  <si>
    <t>/else/then, line 435</t>
  </si>
  <si>
    <t>/default, line 715</t>
  </si>
  <si>
    <t>Decisions ...................  97.5% (78/80)</t>
  </si>
  <si>
    <t>"(type-cast)(0)" True, line 299</t>
  </si>
  <si>
    <t>"(type-cast)(0)" True, line 312</t>
  </si>
  <si>
    <t>"(type-cast)(0)" True, line 345</t>
  </si>
  <si>
    <t>"(type-cast)(0)" True, line 372</t>
  </si>
  <si>
    <t>"(type-cast)(0)" True, line 435</t>
  </si>
  <si>
    <t>"(type-cast)(0)" True, line 493</t>
  </si>
  <si>
    <t>"(type-cast)(0)" True, line 596</t>
  </si>
  <si>
    <t>"default", line 715</t>
  </si>
  <si>
    <t>"(type-cast)(0)" #2 (TF=T/TT=F), line 299</t>
  </si>
  <si>
    <t>"(type-cast)(0)" #3 (TTF=T/TTT=F), line 312</t>
  </si>
  <si>
    <t>"(type-cast)(0)" #2 (FFF=T/FTX=F), line 345</t>
  </si>
  <si>
    <t>"(type-cast)(0)" #3 (FFF=T/FFT=F), line 345</t>
  </si>
  <si>
    <t>"(type-cast)(0)" #2 (FT=T/FF=F), line 372</t>
  </si>
  <si>
    <t>"(type-cast)(0)" #2 (FF=T/FT=F), line 493</t>
  </si>
  <si>
    <t>"(type-cast)(0)" #2 (FT=T/FF=F), line 596</t>
  </si>
  <si>
    <t>BBRLY</t>
  </si>
  <si>
    <t>BBRLYFTCPROTECTION.C :</t>
  </si>
  <si>
    <t>Statement blocks ............  90.5% (19/21)</t>
  </si>
  <si>
    <t>Decisions ...................  91.3% (21/23)</t>
  </si>
  <si>
    <t>Basic conditions ............  94.7% (36/38)</t>
  </si>
  <si>
    <t>BBRlyFtcProtection_Init :</t>
  </si>
  <si>
    <t>BBRlyFtcProtection_Disable :</t>
  </si>
  <si>
    <t>BBRlyFtcProtection_Start :</t>
  </si>
  <si>
    <t>BBRlyFtcProtection :</t>
  </si>
  <si>
    <t>/default, line 380</t>
  </si>
  <si>
    <t>/default, line 455</t>
  </si>
  <si>
    <t>Decisions ...................  89.5% (17/19)</t>
  </si>
  <si>
    <t>"default", line 380</t>
  </si>
  <si>
    <t>"default", line 455</t>
  </si>
  <si>
    <t>BBRlyFtcProtection_Term :</t>
  </si>
  <si>
    <t>BBRLYFTCPROTECTION</t>
  </si>
  <si>
    <t>BBRLYFTO.C :</t>
  </si>
  <si>
    <t>BBRlyFTO_Init :</t>
  </si>
  <si>
    <t>BBRlyFTO :</t>
  </si>
  <si>
    <t>BBRLYFTO</t>
  </si>
  <si>
    <t>BEARINGROTORPROTECTION.C :</t>
  </si>
  <si>
    <t>BearingRotorProtection_Init :</t>
  </si>
  <si>
    <t>BearingRotorProtection :</t>
  </si>
  <si>
    <t>BEARINGROTORPROTECTION</t>
  </si>
  <si>
    <t>BITE_EXECUTIVE.C :</t>
  </si>
  <si>
    <t>Implicit blocks .............   0.0% (0/1)</t>
  </si>
  <si>
    <t>mr_bite_executive :</t>
  </si>
  <si>
    <t>mr_bite_executive_initialize :</t>
  </si>
  <si>
    <t>BITE_EXECUTIVE</t>
  </si>
  <si>
    <t>BITE_HOOKS_AND_HANDLES.C :</t>
  </si>
  <si>
    <t>Statement blocks ............ 100.0% (52/52)</t>
  </si>
  <si>
    <t>Implicit blocks ............. 100.0% (14/14)</t>
  </si>
  <si>
    <t>Decisions ................... 100.0% (66/66)</t>
  </si>
  <si>
    <t>Basic conditions ............ 100.0% (129/129)</t>
  </si>
  <si>
    <t>SW_OneShot_Flag_Set :</t>
  </si>
  <si>
    <t>SW_AnalogSampleHold :</t>
  </si>
  <si>
    <t>SW_Latches_Flag_Set :</t>
  </si>
  <si>
    <t>Initialize_ONESHOT_Flags :</t>
  </si>
  <si>
    <t>Calculate_ONESHOT_Flags :</t>
  </si>
  <si>
    <t>Initialize_LATCHES_Flags :</t>
  </si>
  <si>
    <t>Initialize_OTHER_Flags :</t>
  </si>
  <si>
    <t>Calculate_LATCHES_Flags :</t>
  </si>
  <si>
    <t>Basic conditions ............ 100.0% (7/7)</t>
  </si>
  <si>
    <t>Calculate_OTHER_Flags :</t>
  </si>
  <si>
    <t>Statement blocks ............ 100.0% (26/26)</t>
  </si>
  <si>
    <t>Implicit blocks ............. 100.0% (7/7)</t>
  </si>
  <si>
    <t>Decisions ................... 100.0% (33/33)</t>
  </si>
  <si>
    <t>Basic conditions ............ 100.0% (52/52)</t>
  </si>
  <si>
    <t>Initialize_Software_Hooks :</t>
  </si>
  <si>
    <t>GCU_Calculate_BITE_Flags :</t>
  </si>
  <si>
    <t>BITE_HOOKS_AND_HANDLES</t>
  </si>
  <si>
    <t>BITE_IO.C :</t>
  </si>
  <si>
    <t>Statement blocks ............  93.4% (113/121)</t>
  </si>
  <si>
    <t>Implicit blocks ............. 100.0% (8/8)</t>
  </si>
  <si>
    <t>Decisions ...................  93.8% (121/129)</t>
  </si>
  <si>
    <t>Basic conditions ............  93.7% (118/126)</t>
  </si>
  <si>
    <t>InitializeBiteEngines :</t>
  </si>
  <si>
    <t>Execute_BITE_Engines :</t>
  </si>
  <si>
    <t>update_snapshot_data :</t>
  </si>
  <si>
    <t>Statement blocks ............ 100.0% (98/98)</t>
  </si>
  <si>
    <t>Implicit blocks ............. 100.0% (6/6)</t>
  </si>
  <si>
    <t>Basic conditions ............ 100.0% (104/104)</t>
  </si>
  <si>
    <t>Create_DSRBuffers_Sessions_For_TL :</t>
  </si>
  <si>
    <t>Statement blocks ............  60.0% (12/20)</t>
  </si>
  <si>
    <t>/else/then, line 720</t>
  </si>
  <si>
    <t>/else/else/then, line 735</t>
  </si>
  <si>
    <t>/else/else/else/else/then, line 764</t>
  </si>
  <si>
    <t>/else/else/else/else/else/then, line 779</t>
  </si>
  <si>
    <t>/else/else/else/else/else/else/then, line 794</t>
  </si>
  <si>
    <t>/else/else/else/else/else/else/else/then, line 810</t>
  </si>
  <si>
    <t>/else/else/else/else/else/else/else/else/then, line 826</t>
  </si>
  <si>
    <t>/else/else/else/else/else/else/else/else/else/then, line 841</t>
  </si>
  <si>
    <t>Decisions ...................  61.9% (13/21)</t>
  </si>
  <si>
    <t>Basic conditions ............  60.0% (12/20)</t>
  </si>
  <si>
    <t>"dsrSessionId == (type-cast)0" True, line 719</t>
  </si>
  <si>
    <t>"dsrSessionId == (type-cast)0" True, line 734</t>
  </si>
  <si>
    <t>"dsrSessionId == (type-cast)0" True, line 763</t>
  </si>
  <si>
    <t>"dsrSessionId == (type-cast)0" True, line 778</t>
  </si>
  <si>
    <t>"dsrSessionId == (type-cast)0" True, line 793</t>
  </si>
  <si>
    <t>"dsrSessionId == (type-cast)0" True, line 809</t>
  </si>
  <si>
    <t>"dsrSessionId == (type-cast)0" True, line 825</t>
  </si>
  <si>
    <t>"dsrSessionId == (type-cast)0" True, line 840</t>
  </si>
  <si>
    <t>BITE_IO</t>
  </si>
  <si>
    <t>BITE_UPDATE_DESIGN_NOTES.C :</t>
  </si>
  <si>
    <t>Basic conditions ............ 100.0% (198/198)</t>
  </si>
  <si>
    <t>Modified conditions ......... 100.0% (94/94)</t>
  </si>
  <si>
    <t>Update_DesignNotesBusPoweredLogic :</t>
  </si>
  <si>
    <t>BITE_UPDATE_DESIGN_NOTES</t>
  </si>
  <si>
    <t>BITE_UPDATE_SOFTWARE_HOOKS_OTHERS.C :</t>
  </si>
  <si>
    <t>Basic conditions ............ 100.0% (77/77)</t>
  </si>
  <si>
    <t>Modified conditions ......... 100.0% (30/30)</t>
  </si>
  <si>
    <t>Update_Software_Names_Others :</t>
  </si>
  <si>
    <t>BITE_UPDATE_SOFTWARE_HOOKS_OTH</t>
  </si>
  <si>
    <t>BUSATRUPROTECTION.C :</t>
  </si>
  <si>
    <t>Statement blocks ............ 100.0% (80/80)</t>
  </si>
  <si>
    <t>Implicit blocks ............. 100.0% (37/37)</t>
  </si>
  <si>
    <t>Decisions ................... 100.0% (117/117)</t>
  </si>
  <si>
    <t>Basic conditions ............ 100.0% (172/172)</t>
  </si>
  <si>
    <t>mr_BusAtruProtection_Init :</t>
  </si>
  <si>
    <t>mr_BusAtruProtection_Disable :</t>
  </si>
  <si>
    <t>mr_BusAtruProtection_Start :</t>
  </si>
  <si>
    <t>mr_BusAtruProtection :</t>
  </si>
  <si>
    <t>Statement blocks ............ 100.0% (73/73)</t>
  </si>
  <si>
    <t>Implicit blocks ............. 100.0% (36/36)</t>
  </si>
  <si>
    <t>Decisions ................... 100.0% (109/109)</t>
  </si>
  <si>
    <t>Basic conditions ............ 100.0% (170/170)</t>
  </si>
  <si>
    <t>mr_BusAtruProtection_Update :</t>
  </si>
  <si>
    <t>mr_BusAtruProtection_Term :</t>
  </si>
  <si>
    <t>mr_BusAtruProtection_initialize :</t>
  </si>
  <si>
    <t>BUSATRUPROTECTION</t>
  </si>
  <si>
    <t>BUSOFFMAINTENANCE.C :</t>
  </si>
  <si>
    <t>Statement blocks ............  90.0% (18/20)</t>
  </si>
  <si>
    <t>Decisions ...................  90.9% (20/22)</t>
  </si>
  <si>
    <t>Basic conditions ............  88.9% (16/18)</t>
  </si>
  <si>
    <t>BusOffMaintenance_Init :</t>
  </si>
  <si>
    <t>BusOffMaintenance_Disable :</t>
  </si>
  <si>
    <t>BusOffMaintenance_Start :</t>
  </si>
  <si>
    <t>BusOffMaintenance :</t>
  </si>
  <si>
    <t>/default, line 224</t>
  </si>
  <si>
    <t>/default, line 302</t>
  </si>
  <si>
    <t>"default", line 224</t>
  </si>
  <si>
    <t>"default", line 302</t>
  </si>
  <si>
    <t>BUSOFFMAINTENANCE</t>
  </si>
  <si>
    <t>BUSSYNOPTICS.C :</t>
  </si>
  <si>
    <t>BusSynoptics :</t>
  </si>
  <si>
    <t>BUSSYNOPTICS</t>
  </si>
  <si>
    <t>BUSUVPROTECTON.C :</t>
  </si>
  <si>
    <t>BusUvProtecton_Init :</t>
  </si>
  <si>
    <t>BusUvProtecton :</t>
  </si>
  <si>
    <t>BUSUVPROTECTON</t>
  </si>
  <si>
    <t>CALCULATE_PMGFREQUENCY.C :</t>
  </si>
  <si>
    <t>Calculate_PMGFrequency :</t>
  </si>
  <si>
    <t>CALCULATE_PMGFREQUENCY</t>
  </si>
  <si>
    <t>CHATTERPROTECTION.C :</t>
  </si>
  <si>
    <t>Statement blocks ............ 100.0% (132/132)</t>
  </si>
  <si>
    <t>Decisions ................... 100.0% (138/138)</t>
  </si>
  <si>
    <t>Basic conditions ............ 100.0% (190/190)</t>
  </si>
  <si>
    <t>Modified conditions ......... 100.0% (40/40)</t>
  </si>
  <si>
    <t>VfsgAsgProtections_DetectChatter_Init :</t>
  </si>
  <si>
    <t>VfsgAsgProtections_DetectChatter :</t>
  </si>
  <si>
    <t>VfsgAsgProtections_DetectChatter1_Init :</t>
  </si>
  <si>
    <t>VfsgAsgProtections_DetectChatter1 :</t>
  </si>
  <si>
    <t>VfsgAsgProtections_DetectChatter_b_Init :</t>
  </si>
  <si>
    <t>VfsgAsgProtections_DetectChatter_b :</t>
  </si>
  <si>
    <t>VfsgAsgProtections_DetectChatter1_p_Init :</t>
  </si>
  <si>
    <t>VfsgAsgProtections_DetectChatter1_p :</t>
  </si>
  <si>
    <t>ChatterProtection_Init :</t>
  </si>
  <si>
    <t>ChatterProtection_Start :</t>
  </si>
  <si>
    <t>ChatterProtection :</t>
  </si>
  <si>
    <t>Basic conditions ............ 100.0% (98/98)</t>
  </si>
  <si>
    <t>ChatterProtection_Term :</t>
  </si>
  <si>
    <t>CHATTERPROTECTION</t>
  </si>
  <si>
    <t>CMSCINITIATEDOPTST.C :</t>
  </si>
  <si>
    <t>CMSCInitiatedOpTst_Init :</t>
  </si>
  <si>
    <t>CMSCInitiatedOpTst_Disable :</t>
  </si>
  <si>
    <t>CMSCInitiatedOpTst_Start :</t>
  </si>
  <si>
    <t>CMSCInitiatedOpTst :</t>
  </si>
  <si>
    <t>CMSCINITIATEDOPTST</t>
  </si>
  <si>
    <t>CMSCINITIATEDOPTST_ATRUCCACTRIPRQST.C :</t>
  </si>
  <si>
    <t>CMSCInitiatedOpTst_ATRUCCACTripRqstTest_Init :</t>
  </si>
  <si>
    <t>CMSCInitiatedOpTst_ATRUCCACTripRqstTest_Disable :</t>
  </si>
  <si>
    <t>CMSCInitiatedOpTst_ATRUCCACTripRqstTest_Start :</t>
  </si>
  <si>
    <t>CMSCInitiatedOpTst_ATRUCCACTripRqstTest :</t>
  </si>
  <si>
    <t>/default, line 462</t>
  </si>
  <si>
    <t>"default", line 462</t>
  </si>
  <si>
    <t>CMSCInitiatedOpTst_ATRUCCACTripRqstTestMode_Init :</t>
  </si>
  <si>
    <t>CMSCInitiatedOpTst_ATRUCCACTripRqstTestMode_Disable :</t>
  </si>
  <si>
    <t>CMSCInitiatedOpTst_ATRUCCACTripRqstTestMode_Start :</t>
  </si>
  <si>
    <t>CMSCInitiatedOpTst_ATRUCCACTripRqstTestMode :</t>
  </si>
  <si>
    <t>Statement blocks ............  96.0% (24/25)</t>
  </si>
  <si>
    <t>/default, line 694</t>
  </si>
  <si>
    <t>Decisions ...................  96.4% (27/28)</t>
  </si>
  <si>
    <t>"default", line 694</t>
  </si>
  <si>
    <t>CMSCInitiatedOpTst_ATRUCCACTripRqst_Init :</t>
  </si>
  <si>
    <t>CMSCInitiatedOpTst_ATRUCCACTripRqst_Disable :</t>
  </si>
  <si>
    <t>CMSCInitiatedOpTst_ATRUCCACTripRqst_Start :</t>
  </si>
  <si>
    <t>CMSCInitiatedOpTst_ATRUCCACTripRqst :</t>
  </si>
  <si>
    <t>CMSCINITIATEDOPTST_ATRUCCACTRI</t>
  </si>
  <si>
    <t>CMSCINITIATEDOPTST_ATRUCEMPTRIPRQST.C :</t>
  </si>
  <si>
    <t>Decisions ...................  97.5% (79/81)</t>
  </si>
  <si>
    <t>CMSCInitiatedOpTst_ATRUCEMPTripRqstTest_Init :</t>
  </si>
  <si>
    <t>CMSCInitiatedOpTst_ATRUCEMPTripRqstTest_Disable :</t>
  </si>
  <si>
    <t>CMSCInitiatedOpTst_ATRUCEMPTripRqstTest_Start :</t>
  </si>
  <si>
    <t>CMSCInitiatedOpTst_ATRUCEMPTripRqstTest :</t>
  </si>
  <si>
    <t>Statement blocks ............  97.4% (37/38)</t>
  </si>
  <si>
    <t>Decisions ...................  97.7% (42/43)</t>
  </si>
  <si>
    <t>CMSCInitiatedOpTst_ATRUCEMPTripRqstTestMode_Init :</t>
  </si>
  <si>
    <t>CMSCInitiatedOpTst_ATRUCEMPTripRqstTestMode_Disable :</t>
  </si>
  <si>
    <t>CMSCInitiatedOpTst_ATRUCEMPTripRqstTestMode_Start :</t>
  </si>
  <si>
    <t>CMSCInitiatedOpTst_ATRUCEMPTripRqstTestMode :</t>
  </si>
  <si>
    <t>Basic conditions ............  97.3% (36/37)</t>
  </si>
  <si>
    <t>CMSCInitiatedOpTst_ATRUCEMPTripRqst_Init :</t>
  </si>
  <si>
    <t>CMSCInitiatedOpTst_ATRUCEMPTripRqst_Disable :</t>
  </si>
  <si>
    <t>CMSCInitiatedOpTst_ATRUCEMPTripRqst_Start :</t>
  </si>
  <si>
    <t>CMSCInitiatedOpTst_ATRUCEMPTripRqst :</t>
  </si>
  <si>
    <t>CMSCINITIATEDOPTST_ATRUCEMPTRI</t>
  </si>
  <si>
    <t>CMSCINITIATEDOPTST_STARTCONTACTORS.C :</t>
  </si>
  <si>
    <t>Modified conditions ......... 100.0% (29/29)</t>
  </si>
  <si>
    <t>CMSCInitiatedOpTst_StartContactorsCoordination_Init :</t>
  </si>
  <si>
    <t>CMSCInitiatedOpTst_StartContactorsCoordination :</t>
  </si>
  <si>
    <t>Statement blocks ............  97.8% (44/45)</t>
  </si>
  <si>
    <t>CMSCInitiatedOpTst_StartContactorsStart :</t>
  </si>
  <si>
    <t>Is_CMSCInitiatedOpTst_StartContactorsTimedOut_Init :</t>
  </si>
  <si>
    <t>Is_CMSCInitiatedOpTst_StartContactorsTimedOut :</t>
  </si>
  <si>
    <t>CMSCInitiatedOpTst_StartContactors_Init :</t>
  </si>
  <si>
    <t>CMSCInitiatedOpTst_StartContactors :</t>
  </si>
  <si>
    <t>CMSCINITIATEDOPTST_STARTCONTAC</t>
  </si>
  <si>
    <t>CMSCINITIATEDOPTSTTOPLEVEL.C :</t>
  </si>
  <si>
    <t>CMSCInitiatedOpTstTopLevel_Init :</t>
  </si>
  <si>
    <t>CMSCInitiatedOpTstTopLevel_Disable :</t>
  </si>
  <si>
    <t>CMSCInitiatedOpTstTopLevel_Start :</t>
  </si>
  <si>
    <t>CMSCInitiatedOpTstTopLevel :</t>
  </si>
  <si>
    <t>CMSCINITIATEDOPTSTTOPLEVEL</t>
  </si>
  <si>
    <t>CMSCSAFEINLKPROT.C :</t>
  </si>
  <si>
    <t>CmscSafeInlkProt_Init :</t>
  </si>
  <si>
    <t>CmscSafeInlkProt :</t>
  </si>
  <si>
    <t>CMSCSAFEINLKPROT</t>
  </si>
  <si>
    <t>CONTACTORPROTCOORD.C :</t>
  </si>
  <si>
    <t>Statement blocks ............  92.3% (12/13)</t>
  </si>
  <si>
    <t>Decisions ...................  92.9% (13/14)</t>
  </si>
  <si>
    <t>Basic conditions ............  99.0% (98/99)</t>
  </si>
  <si>
    <t>Modified conditions ......... 100.0% (45/45)</t>
  </si>
  <si>
    <t>ContactorProtCoord_Init :</t>
  </si>
  <si>
    <t>ContactorProtCoord_Disable :</t>
  </si>
  <si>
    <t>ContactorProtCoord_Start :</t>
  </si>
  <si>
    <t>ContactorProtCoord :</t>
  </si>
  <si>
    <t>/default, line 383</t>
  </si>
  <si>
    <t>"default", line 383</t>
  </si>
  <si>
    <t>ContactorProtCoord_Term :</t>
  </si>
  <si>
    <t>CONTACTORPROTCOORD</t>
  </si>
  <si>
    <t>CONDITIONFIXEDTD.C :</t>
  </si>
  <si>
    <t>ConditionFixedTD :</t>
  </si>
  <si>
    <t>CONDITIONFIXEDTD</t>
  </si>
  <si>
    <t>CONDITIONFIXEDTDWITHINHIBIT.C :</t>
  </si>
  <si>
    <t>ConditionFixedTDwithInhibit :</t>
  </si>
  <si>
    <t>CONDITIONFIXEDTDWITHINHIBIT</t>
  </si>
  <si>
    <t>DCCONTENTPROTECTION.C :</t>
  </si>
  <si>
    <t>Basic conditions ............ 100.0% (42/42)</t>
  </si>
  <si>
    <t>Modified conditions ......... 100.0% (16/16)</t>
  </si>
  <si>
    <t>DcContentProtection_Init :</t>
  </si>
  <si>
    <t>DcContentProtection_Start :</t>
  </si>
  <si>
    <t>DcContentProtection :</t>
  </si>
  <si>
    <t>Decisions ................... 100.0% (11/11)</t>
  </si>
  <si>
    <t>DcContentProtection_Term :</t>
  </si>
  <si>
    <t>DCCONTENTPROTECTION</t>
  </si>
  <si>
    <t>DCLINKMONPROTECTION.C :</t>
  </si>
  <si>
    <t>Statement blocks ............ 100.0% (10/10)</t>
  </si>
  <si>
    <t>Decisions ................... 100.0% (10/10)</t>
  </si>
  <si>
    <t>Basic conditions ............ 100.0% (40/40)</t>
  </si>
  <si>
    <t>DCLinkMonProtection_Init :</t>
  </si>
  <si>
    <t>DCLinkMonProtection :</t>
  </si>
  <si>
    <t>DCLINKMONPROTECTION</t>
  </si>
  <si>
    <t>DEBOUNCE_OWN235BUSRAWTARSRC.C :</t>
  </si>
  <si>
    <t>Debounce_Own235BusRawTarSrc :</t>
  </si>
  <si>
    <t>DEBOUNCE_OWN235BUSRAWTARSRC</t>
  </si>
  <si>
    <t>DETERMINE_AIRCRAFTMODE.C :</t>
  </si>
  <si>
    <t>Determine_AircraftMode_Init :</t>
  </si>
  <si>
    <t>Determine_AircraftMode_Disable :</t>
  </si>
  <si>
    <t>Determine_AircraftMode_Start :</t>
  </si>
  <si>
    <t>Determine_AircraftMode :</t>
  </si>
  <si>
    <t>DETERMINE_AIRCRAFTMODE</t>
  </si>
  <si>
    <t>DETERMINE_AIRCRAFTMODE_LIBRARY.C :</t>
  </si>
  <si>
    <t>Statement blocks ............  92.0% (69/75)</t>
  </si>
  <si>
    <t>Decisions ...................  92.9% (78/84)</t>
  </si>
  <si>
    <t>Basic conditions ............  98.2% (326/332)</t>
  </si>
  <si>
    <t>Modified conditions ......... 100.0% (126/126)</t>
  </si>
  <si>
    <t>Determine_AircraftMode_Library_Init :</t>
  </si>
  <si>
    <t>Determine_AircraftMode_Library_Disable :</t>
  </si>
  <si>
    <t>Determine_AircraftMode_Library_Start :</t>
  </si>
  <si>
    <t>Determine_AircraftMode_Library :</t>
  </si>
  <si>
    <t>Statement blocks ............  91.7% (66/72)</t>
  </si>
  <si>
    <t>/default, line 933</t>
  </si>
  <si>
    <t>/default, line 1011</t>
  </si>
  <si>
    <t>/default, line 1090</t>
  </si>
  <si>
    <t>/default, line 1169</t>
  </si>
  <si>
    <t>/default, line 1259</t>
  </si>
  <si>
    <t>/default, line 1444</t>
  </si>
  <si>
    <t>Decisions ...................  92.6% (75/81)</t>
  </si>
  <si>
    <t>"default", line 933</t>
  </si>
  <si>
    <t>"default", line 1011</t>
  </si>
  <si>
    <t>"default", line 1090</t>
  </si>
  <si>
    <t>"default", line 1169</t>
  </si>
  <si>
    <t>"default", line 1259</t>
  </si>
  <si>
    <t>"default", line 1444</t>
  </si>
  <si>
    <t>DETERMINE_AIRCRAFTMODE_LIBRARY</t>
  </si>
  <si>
    <t>DETERMINE_OVTPUFAULT.C :</t>
  </si>
  <si>
    <t>Decisions ...................  98.1% (52/53)</t>
  </si>
  <si>
    <t>Basic conditions ............  98.4% (62/63)</t>
  </si>
  <si>
    <t>Determine_OVTPUFault_Init :</t>
  </si>
  <si>
    <t>Determine_OVTPUFault_Disable :</t>
  </si>
  <si>
    <t>Determine_OVTPUFault_Start :</t>
  </si>
  <si>
    <t>Determine_OVTPUFault :</t>
  </si>
  <si>
    <t>Statement blocks ............  97.6% (41/42)</t>
  </si>
  <si>
    <t>/default, line 414</t>
  </si>
  <si>
    <t>Decisions ...................  98.0% (49/50)</t>
  </si>
  <si>
    <t>"default", line 414</t>
  </si>
  <si>
    <t>DETERMINE_OVTPUFAULT</t>
  </si>
  <si>
    <t>DPPROTECTION.C :</t>
  </si>
  <si>
    <t>Statement blocks ............  97.8% (45/46)</t>
  </si>
  <si>
    <t>Decisions ...................  97.9% (46/47)</t>
  </si>
  <si>
    <t>Basic conditions ............  98.0% (48/49)</t>
  </si>
  <si>
    <t>DpProtection_Init :</t>
  </si>
  <si>
    <t>DpProtection_Disable :</t>
  </si>
  <si>
    <t>DpProtection_Start :</t>
  </si>
  <si>
    <t>DpProtection :</t>
  </si>
  <si>
    <t>Statement blocks ............  97.7% (42/43)</t>
  </si>
  <si>
    <t>/default, line 404</t>
  </si>
  <si>
    <t>Decisions ...................  97.7% (43/44)</t>
  </si>
  <si>
    <t>"default", line 404</t>
  </si>
  <si>
    <t>DPPROTECTION</t>
  </si>
  <si>
    <t>DUALASGCONTROL.C :</t>
  </si>
  <si>
    <t>Statement blocks ............  99.9% (773/774)</t>
  </si>
  <si>
    <t>Implicit blocks .............  98.6% (72/73)</t>
  </si>
  <si>
    <t>Decisions ...................  99.8% (845/847)</t>
  </si>
  <si>
    <t>Basic conditions ............  97.7% (1623/1662)</t>
  </si>
  <si>
    <t>Modified conditions .........  94.1% (590/627)</t>
  </si>
  <si>
    <t>GcuControl_L1_Fail :</t>
  </si>
  <si>
    <t>Basic conditions ............  94.1% (32/34)</t>
  </si>
  <si>
    <t>"R1VFSGState == 1U" False, line 283</t>
  </si>
  <si>
    <t>"R2VFSGState == 1U" False, line 310</t>
  </si>
  <si>
    <t>Modified conditions .........  85.7% (12/14)</t>
  </si>
  <si>
    <t>"R1VFSGState == 1U" #2 (TTTT=T/TFXX=F), line 283</t>
  </si>
  <si>
    <t>"R2VFSGState == 1U" #2 (TTTT=T/TFXX=F), line 310</t>
  </si>
  <si>
    <t>GcuControl_R2_Fail :</t>
  </si>
  <si>
    <t>Modified conditions ......... 100.0% (20/20)</t>
  </si>
  <si>
    <t>GcuControl_L2_Fail :</t>
  </si>
  <si>
    <t>"R1VFSGState == 1U" False, line 569</t>
  </si>
  <si>
    <t>"R2VFSGState == 1U" False, line 594</t>
  </si>
  <si>
    <t>Modified conditions .........  88.2% (15/17)</t>
  </si>
  <si>
    <t>"R1VFSGState == 1U" #2 (TTTT=T/TFXX=F), line 569</t>
  </si>
  <si>
    <t>"R2VFSGState == 1U" #2 (TTTT=T/TFXX=F), line 594</t>
  </si>
  <si>
    <t>GcuControl_R1_Fail :</t>
  </si>
  <si>
    <t>GcuControl_ALLON :</t>
  </si>
  <si>
    <t>Basic conditions ............  90.7% (127/140)</t>
  </si>
  <si>
    <t>"L2VFSGState == 1U" False, line 815</t>
  </si>
  <si>
    <t>"L2VFSGState == 1U" False, line 867</t>
  </si>
  <si>
    <t>"R1VFSGState == 1U" False, line 868</t>
  </si>
  <si>
    <t>"R2VFSGState == 1U" False, line 892</t>
  </si>
  <si>
    <t>"R1VFSGState == 1U" False, line 962</t>
  </si>
  <si>
    <t>"R2VFSGState == 1U" False, line 963</t>
  </si>
  <si>
    <t>"R1VFSGState == 1U" False, line 1003</t>
  </si>
  <si>
    <t>"R1VFSGState == 1U" False, line 1025</t>
  </si>
  <si>
    <t>"L2VFSGState == 1U" False, line 1027</t>
  </si>
  <si>
    <t>"R1VFSGState == 1U" False, line 1074</t>
  </si>
  <si>
    <t>"R2VFSGState == 1U" False, line 1075</t>
  </si>
  <si>
    <t>"R1VFSGState == 0U" False, line 1101</t>
  </si>
  <si>
    <t>"R2VFSGState == 1U" False, line 1102</t>
  </si>
  <si>
    <t>Modified conditions .........  80.9% (55/68)</t>
  </si>
  <si>
    <t>"L2VFSGState == 1U" #4 (TTTT=T/TTTF=F), line 815</t>
  </si>
  <si>
    <t>"L2VFSGState == 1U" #3 (TTTTTT=T/TTFXXX=F), line 867</t>
  </si>
  <si>
    <t>"R1VFSGState == 1U" #4 (TTTTTT=T/TTTFXX=F), line 868</t>
  </si>
  <si>
    <t>"R2VFSGState == 1U" #4 (TTTTTT=T/TTTFXX=F), line 892</t>
  </si>
  <si>
    <t>"R1VFSGState == 1U" #3 (TTTTTT=T/TTFXXX=F), line 962</t>
  </si>
  <si>
    <t>"R2VFSGState == 1U" #4 (TTTTTT=T/TTTFXX=F), line 963</t>
  </si>
  <si>
    <t>"R1VFSGState == 1U" #4 (TTTT=T/TTTF=F), line 1003</t>
  </si>
  <si>
    <t>"R1VFSGState == 1U" #2 (TTTT=T/TFXX=F), line 1025</t>
  </si>
  <si>
    <t>"L2VFSGState == 1U" #4 (TTTT=T/TTTF=F), line 1027</t>
  </si>
  <si>
    <t>"R1VFSGState == 1U" #3 (TTTTTT=T/TTFXXX=F), line 1074</t>
  </si>
  <si>
    <t>"R2VFSGState == 1U" #4 (TTTTTT=T/TTTFXX=F), line 1075</t>
  </si>
  <si>
    <t>"R1VFSGState == 0U" #3 (TTTT=T/TTFX=F), line 1101</t>
  </si>
  <si>
    <t>"R2VFSGState == 1U" #4 (TTTT=T/TTTF=F), line 1102</t>
  </si>
  <si>
    <t>GcuControl_enter_atomic_L1_L2_Fail :</t>
  </si>
  <si>
    <t>GcuControl_L1_L2_Fail :</t>
  </si>
  <si>
    <t>Statement blocks ............ 100.0% (17/17)</t>
  </si>
  <si>
    <t>GcuControl_L1_R1_Fail :</t>
  </si>
  <si>
    <t>GcuControl_L1_R2_Fail :</t>
  </si>
  <si>
    <t>GcuControl_None_Available_16e :</t>
  </si>
  <si>
    <t>GcuControl_enter_atomic_L2_L1_Fail :</t>
  </si>
  <si>
    <t>GcuControl_L2_L1_Fail :</t>
  </si>
  <si>
    <t>GcuControl_R1_L1_Fail :</t>
  </si>
  <si>
    <t>GcuControl_R2_L2_Fail :</t>
  </si>
  <si>
    <t>GcuControl_enter_atomic_L2_R1_Fail :</t>
  </si>
  <si>
    <t>GcuControl_L2_R1_Fail :</t>
  </si>
  <si>
    <t>GcuControl_enter_atomic_R1_R2_Fail :</t>
  </si>
  <si>
    <t>GcuControl_R1_R2_Fail :</t>
  </si>
  <si>
    <t>Basic conditions ............  95.0% (38/40)</t>
  </si>
  <si>
    <t>"L1VFSGState == 1U" False, line 2342</t>
  </si>
  <si>
    <t>"L2VFSGState == 1U" False, line 2360</t>
  </si>
  <si>
    <t>Modified conditions .........  88.9% (16/18)</t>
  </si>
  <si>
    <t>"L1VFSGState == 1U" #2 (TTTT=T/TFXX=F), line 2342</t>
  </si>
  <si>
    <t>"L2VFSGState == 1U" #2 (TTTT=T/TFXX=F), line 2360</t>
  </si>
  <si>
    <t>GcuControl_enter_atomic_R2_R1_Fail :</t>
  </si>
  <si>
    <t>GcuControl_R2_R1_Fail :</t>
  </si>
  <si>
    <t>"L1VFSGState == 1U" False, line 2506</t>
  </si>
  <si>
    <t>"L2VFSGState == 1U" False, line 2524</t>
  </si>
  <si>
    <t>Modified conditions .........  90.0% (18/20)</t>
  </si>
  <si>
    <t>"L1VFSGState == 1U" #2 (TTTT=T/TFXX=F), line 2506</t>
  </si>
  <si>
    <t>"L2VFSGState == 1U" #2 (TTTT=T/TFXX=F), line 2524</t>
  </si>
  <si>
    <t>GcuControl_L2_R2_Fail :</t>
  </si>
  <si>
    <t>GcuControl_enter_atomic_R2_L1_Fail :</t>
  </si>
  <si>
    <t>GcuControl_R2_L1_Fail :</t>
  </si>
  <si>
    <t>GcuControl_L1_L2_R1_Fail :</t>
  </si>
  <si>
    <t>GcuControl_L1_L2_R2_Fail :</t>
  </si>
  <si>
    <t>Basic conditions ............  97.4% (37/38)</t>
  </si>
  <si>
    <t>"L2VFSGState == 0U" False, line 3125</t>
  </si>
  <si>
    <t>Modified conditions .........  94.1% (16/17)</t>
  </si>
  <si>
    <t>"L2VFSGState == 0U" #2 (TTTT=T/TFXX=F), line 3125</t>
  </si>
  <si>
    <t>GcuControl_enter_atomic_L1_R1_R2_Fail :</t>
  </si>
  <si>
    <t>GcuControl_L1_R1_R2_Fail :</t>
  </si>
  <si>
    <t>Decisions ................... 100.0% (21/21)</t>
  </si>
  <si>
    <t>Basic conditions ............ 100.0% (44/44)</t>
  </si>
  <si>
    <t>GcuControl_enter_atomic_L2_L1_R1_Fail :</t>
  </si>
  <si>
    <t>GcuControl_L2_L1_R1_Fail :</t>
  </si>
  <si>
    <t>Basic conditions ............  98.1% (51/52)</t>
  </si>
  <si>
    <t>"L1VFSGState == 0U" False, line 3507</t>
  </si>
  <si>
    <t>Modified conditions .........  95.5% (21/22)</t>
  </si>
  <si>
    <t>"L1VFSGState == 0U" #3 (TTTTT=T/TTFXX=F), line 3507</t>
  </si>
  <si>
    <t>GcuControl_enter_atomic_L2_L1_R2_Fail :</t>
  </si>
  <si>
    <t>GcuControl_L2_L1_R2_Fail :</t>
  </si>
  <si>
    <t>GcuControl_init_timer :</t>
  </si>
  <si>
    <t>GcuControl_enter_atomic_R1_L1_L2_Fail :</t>
  </si>
  <si>
    <t>GcuControl_R1_L1_L2_Fail :</t>
  </si>
  <si>
    <t>Statement blocks ............ 100.0% (25/25)</t>
  </si>
  <si>
    <t>Basic conditions ............  94.1% (64/68)</t>
  </si>
  <si>
    <t>"L1VFSGState == 0U" False, line 3879</t>
  </si>
  <si>
    <t>"L2VFSGState == 0U" False, line 3903</t>
  </si>
  <si>
    <t>"L1VFSGState == 0U" False, line 4005</t>
  </si>
  <si>
    <t>"L2VFSGState == 0U" False, line 4050</t>
  </si>
  <si>
    <t>Modified conditions .........  86.2% (25/29)</t>
  </si>
  <si>
    <t>"L1VFSGState == 0U" #4 (TXTTTT=T/TXTFXX=F), (FTTTTT=T/FTTFXX=F), line 3879</t>
  </si>
  <si>
    <t>"L2VFSGState == 0U" #4 (TXTTTT=T/TXTFXX=F), (FTTTTT=T/FTTFXX=F), line 3903</t>
  </si>
  <si>
    <t>"L1VFSGState == 0U" #3 (TTTTT=T/TTFXX=F), line 4005</t>
  </si>
  <si>
    <t>"L2VFSGState == 0U" #3 (TTTTT=T/TTFXX=F), line 4050</t>
  </si>
  <si>
    <t>GcuControl_R1_L1_R2_Fail :</t>
  </si>
  <si>
    <t>GcuControl_ALL_VFSG_Fail_16b :</t>
  </si>
  <si>
    <t>GcuControl_enter_atomic_R1_L2_R2_Fail :</t>
  </si>
  <si>
    <t>GcuControl_R1_L2_R2_Fail :</t>
  </si>
  <si>
    <t>GcuControl_enter_atomic_R2_L1_L2_Fail :</t>
  </si>
  <si>
    <t>GcuControl_R2_L1_L2_Fail :</t>
  </si>
  <si>
    <t>"L1VFSGState == 0U" False, line 4596</t>
  </si>
  <si>
    <t>"L2VFSGState == 0U" False, line 4613</t>
  </si>
  <si>
    <t>"L1VFSGState == 0U" False, line 4712</t>
  </si>
  <si>
    <t>"L2VFSGState == 0U" False, line 4736</t>
  </si>
  <si>
    <t>"L1VFSGState == 0U" #4 (TXTTTT=T/TXTFXX=F), (FTTTTT=T/FTTFXX=F), line 4596</t>
  </si>
  <si>
    <t>"L2VFSGState == 0U" #4 (TXTTTT=T/TXTFXX=F), (FTTTTT=T/FTTFXX=F), line 4613</t>
  </si>
  <si>
    <t>"L1VFSGState == 0U" #3 (TTTTT=T/TTFXX=F), line 4712</t>
  </si>
  <si>
    <t>"L2VFSGState == 0U" #3 (TTTTT=T/TTFXX=F), line 4736</t>
  </si>
  <si>
    <t>GcuControl_enter_atomic_R2_L1_R1_Fail :</t>
  </si>
  <si>
    <t>GcuControl_R2_L1_R1_Fail :</t>
  </si>
  <si>
    <t>Statement blocks ............ 100.0% (23/23)</t>
  </si>
  <si>
    <t>Basic conditions ............  98.1% (53/54)</t>
  </si>
  <si>
    <t>"R2VFSGState == 0U" False, line 4986</t>
  </si>
  <si>
    <t>"R2VFSGState == 0U" #3 (TTTTT=T/TTFXX=F), line 4986</t>
  </si>
  <si>
    <t>GcuControl_enter_atomic_R2_L2_R1_Fail :</t>
  </si>
  <si>
    <t>GcuControl_R2_L2_R1_Fail :</t>
  </si>
  <si>
    <t>Basic conditions ............  97.8% (45/46)</t>
  </si>
  <si>
    <t>"R1VFSGState == 0U" False, line 5191</t>
  </si>
  <si>
    <t>Modified conditions .........  94.7% (18/19)</t>
  </si>
  <si>
    <t>"R1VFSGState == 0U" #2 (TTTT=T/TFXX=F), line 5191</t>
  </si>
  <si>
    <t>GcuControl_priority_R1_LoAlt :</t>
  </si>
  <si>
    <t>GcuControl_priority_R1_Air :</t>
  </si>
  <si>
    <t>GcuControl_priority_R1_HiAlt :</t>
  </si>
  <si>
    <t>GcuControl_priority_R2_HiAlt :</t>
  </si>
  <si>
    <t>GcuControl_priority_R2_LoAlt :</t>
  </si>
  <si>
    <t>GcuControl_priority_R2_Air :</t>
  </si>
  <si>
    <t>GcuControl_priority_L1_LoAlt :</t>
  </si>
  <si>
    <t>GcuControl_priority_L1_HiAlt :</t>
  </si>
  <si>
    <t>GcuControl_priority_L1_Air :</t>
  </si>
  <si>
    <t>GcuControl_priority_L2_LoAlt :</t>
  </si>
  <si>
    <t>GcuControl_priority_L2_HiAlt :</t>
  </si>
  <si>
    <t>GcuControl_priority_L2_Air :</t>
  </si>
  <si>
    <t>GcuControl_allowClose_RAPB_HiAlt :</t>
  </si>
  <si>
    <t>GcuControl_open_LAPB_HiAlt :</t>
  </si>
  <si>
    <t>GcuControl_open_RAPB_HiAlt :</t>
  </si>
  <si>
    <t>GcuControl_allowClose_LAPB_HiAlt :</t>
  </si>
  <si>
    <t>GcuControl_ALL_VFSG_Fail_16a :</t>
  </si>
  <si>
    <t>Basic conditions ............  96.3% (52/54)</t>
  </si>
  <si>
    <t>"R1VFSGState == 0U" False, line 5343</t>
  </si>
  <si>
    <t>"R2VFSGState == 0U" False, line 5365</t>
  </si>
  <si>
    <t>Modified conditions .........  92.6% (25/27)</t>
  </si>
  <si>
    <t>"R1VFSGState == 0U" #2 (TTTT=T/TFXX=F), line 5343</t>
  </si>
  <si>
    <t>"R2VFSGState == 0U" #2 (TTTT=T/TFXX=F), line 5365</t>
  </si>
  <si>
    <t>GcuControl_allowClose_APB_inAir :</t>
  </si>
  <si>
    <t>GcuControl_timer :</t>
  </si>
  <si>
    <t>GcuControl_path_tbl_R1 :</t>
  </si>
  <si>
    <t>GcuControl_path_tbl_L2 :</t>
  </si>
  <si>
    <t>GcuControl_path_tbl_L1 :</t>
  </si>
  <si>
    <t>GcuControl_path_tbl_R2 :</t>
  </si>
  <si>
    <t>GcuControl_enter_atomic_L2_R1_R2_Fail :</t>
  </si>
  <si>
    <t>GcuControl_L2_R1_R2_Fail :</t>
  </si>
  <si>
    <t>Basic conditions ............  97.0% (64/66)</t>
  </si>
  <si>
    <t>"R1VFSGState == 0U" False, line 5637</t>
  </si>
  <si>
    <t>"R2VFSGState == 0U" False, line 5661</t>
  </si>
  <si>
    <t>Modified conditions .........  92.9% (26/28)</t>
  </si>
  <si>
    <t>"R1VFSGState == 0U" #3 (TTTTT=T/TTFXX=F), line 5637</t>
  </si>
  <si>
    <t>"R2VFSGState == 0U" #3 (TTTTT=T/TTFXX=F), line 5661</t>
  </si>
  <si>
    <t>GcuControl_GainAPU_init :</t>
  </si>
  <si>
    <t>GcuControl_stagger_HiAlt :</t>
  </si>
  <si>
    <t>GcuControl_timerLhealed :</t>
  </si>
  <si>
    <t>GcuControl_init_timerLwounded :</t>
  </si>
  <si>
    <t>GcuControl_timerLwounded :</t>
  </si>
  <si>
    <t>GcuControl_detectLwounded :</t>
  </si>
  <si>
    <t>GcuControl_detectRwounded :</t>
  </si>
  <si>
    <t>GcuControl_timerRwounded :</t>
  </si>
  <si>
    <t>GcuControl_init_timerRwounded :</t>
  </si>
  <si>
    <t>GcuControl_detectLhealed :</t>
  </si>
  <si>
    <t>GcuControl_NO_STATE :</t>
  </si>
  <si>
    <t>Statement blocks ............ 100.0% (32/32)</t>
  </si>
  <si>
    <t>/else/else/else/else/else/else/else/else/else/else/else/else/else/else/else/else, line 5962</t>
  </si>
  <si>
    <t>Decisions ...................  97.0% (32/33)</t>
  </si>
  <si>
    <t>Basic conditions ............  96.9% (31/32)</t>
  </si>
  <si>
    <t>"mdlref_GcuControl_globalB_74 ..." False, line 5956</t>
  </si>
  <si>
    <t>GcuControl_timerRhealed :</t>
  </si>
  <si>
    <t>GcuControl_init_timerRhealed :</t>
  </si>
  <si>
    <t>GcuControl_detectRhealed :</t>
  </si>
  <si>
    <t>GcuControl_init_timerLhealed :</t>
  </si>
  <si>
    <t>GcuControl_allowClose_APB_LoAlt :</t>
  </si>
  <si>
    <t>GcuControl_allowClose_APB_GM :</t>
  </si>
  <si>
    <t>GcuControl_init_startedInGMandLoAlt :</t>
  </si>
  <si>
    <t>GcuControl_DualASGStateMachine_Init :</t>
  </si>
  <si>
    <t>GcuControl_DualASGStateMachine :</t>
  </si>
  <si>
    <t>Decisions ................... 100.0% (98/98)</t>
  </si>
  <si>
    <t>Basic conditions ............ 100.0% (99/99)</t>
  </si>
  <si>
    <t>DualASGControl_Init :</t>
  </si>
  <si>
    <t>DualASGControl_Disable :</t>
  </si>
  <si>
    <t>DualASGControl_Start :</t>
  </si>
  <si>
    <t>DualASGControl :</t>
  </si>
  <si>
    <t>Statement blocks ............  93.8% (15/16)</t>
  </si>
  <si>
    <t>/default, line 7199</t>
  </si>
  <si>
    <t>Decisions ...................  94.4% (17/18)</t>
  </si>
  <si>
    <t>Basic conditions ............  99.4% (168/169)</t>
  </si>
  <si>
    <t>"default", line 7199</t>
  </si>
  <si>
    <t>Modified conditions ......... 100.0% (77/77)</t>
  </si>
  <si>
    <t>DUALASGCONTROL</t>
  </si>
  <si>
    <t>DUALASGMODE.C :</t>
  </si>
  <si>
    <t>Basic conditions ............ 100.0% (10/10)</t>
  </si>
  <si>
    <t>Is_DualASGMode :</t>
  </si>
  <si>
    <t>DUALASGMODE</t>
  </si>
  <si>
    <t>CR 4132 documents that coverage analysis is preferred to explain why there is no default case.  This CR was from the BL.  CR 4704 was created for this in post-EIS.</t>
  </si>
  <si>
    <t>The else cannot be hit because there each LRU is checked for with an elseif.  The last elseif should be changed to an else.  CR 4705 has been created for this issue.</t>
  </si>
  <si>
    <t>CR4689</t>
  </si>
  <si>
    <t>CR4688</t>
  </si>
  <si>
    <t>CR4693</t>
  </si>
  <si>
    <t>CR4694</t>
  </si>
  <si>
    <t>Basic conditions ............  98.1% (105/107)</t>
  </si>
  <si>
    <t>Basic conditions ............  98.4% (61/62)</t>
  </si>
  <si>
    <t>Modified conditions ......... 100.0% (13/13)</t>
  </si>
  <si>
    <t>NA- This function does not have any updates from BP2.5 to BP3.0, hence corresponding Test scripts are not executed, as the scope was limited only to the updated function of the hand-coded source file.</t>
  </si>
  <si>
    <t>Statement blocks ............ 100.0% (59/59)</t>
  </si>
  <si>
    <t>Decisions ................... 100.0% (63/63)</t>
  </si>
  <si>
    <t>Basic conditions ............ 100.0% (102/102)</t>
  </si>
  <si>
    <t>Statement blocks ............ 100.0% (45/45)</t>
  </si>
  <si>
    <t>Decisions ................... 100.0% (49/49)</t>
  </si>
  <si>
    <t>Basic conditions ............ 100.0% (76/76)</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</si>
</sst>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0"/>
      <name val="Arial"/>
    </font>
    <font>
      <sz val="8"/>
      <name val="Arial"/>
      <family val="2"/>
    </font>
    <font>
      <u/>
      <sz val="10"/>
      <color indexed="12"/>
      <name val="Arial"/>
      <family val="2"/>
    </font>
    <font>
      <b/>
      <sz val="10"/>
      <color indexed="9"/>
      <name val="Courier New"/>
      <family val="3"/>
    </font>
    <font>
      <b/>
      <sz val="8"/>
      <color indexed="9"/>
      <name val="Courier New"/>
      <family val="3"/>
    </font>
    <font>
      <sz val="8"/>
      <name val="Courier New"/>
      <family val="3"/>
    </font>
    <font>
      <b/>
      <sz val="8"/>
      <name val="Courier New"/>
      <family val="3"/>
    </font>
    <font>
      <sz val="10"/>
      <name val="Arial"/>
      <family val="2"/>
    </font>
  </fonts>
  <fills count="4">
    <fill>
      <patternFill patternType="none"/>
    </fill>
    <fill>
      <patternFill patternType="gray125"/>
    </fill>
    <fill>
      <patternFill patternType="solid">
        <fgColor indexed="8"/>
        <bgColor indexed="64"/>
      </patternFill>
    </fill>
    <fill>
      <patternFill patternType="solid">
        <fgColor indexed="9"/>
        <bgColor indexed="64"/>
      </patternFill>
    </fill>
  </fills>
  <borders count="19">
    <border>
      <left/>
      <right/>
      <top/>
      <bottom/>
      <diagonal/>
    </border>
    <border>
      <left style="medium">
        <color indexed="64"/>
      </left>
      <right/>
      <top style="thin">
        <color indexed="9"/>
      </top>
      <bottom style="thin">
        <color indexed="9"/>
      </bottom>
      <diagonal/>
    </border>
    <border>
      <left style="medium">
        <color indexed="64"/>
      </left>
      <right style="thin">
        <color indexed="9"/>
      </right>
      <top style="thin">
        <color indexed="9"/>
      </top>
      <bottom style="thin">
        <color indexed="9"/>
      </bottom>
      <diagonal/>
    </border>
    <border>
      <left style="medium">
        <color indexed="64"/>
      </left>
      <right style="medium">
        <color indexed="64"/>
      </right>
      <top style="thin">
        <color indexed="9"/>
      </top>
      <bottom style="thin">
        <color indexed="9"/>
      </bottom>
      <diagonal/>
    </border>
    <border>
      <left style="thin">
        <color indexed="9"/>
      </left>
      <right/>
      <top style="thin">
        <color indexed="9"/>
      </top>
      <bottom style="thin">
        <color indexed="9"/>
      </bottom>
      <diagonal/>
    </border>
    <border>
      <left/>
      <right/>
      <top style="thin">
        <color indexed="9"/>
      </top>
      <bottom style="thin">
        <color indexed="9"/>
      </bottom>
      <diagonal/>
    </border>
    <border>
      <left style="dashed">
        <color indexed="9"/>
      </left>
      <right/>
      <top style="dashed">
        <color indexed="9"/>
      </top>
      <bottom/>
      <diagonal/>
    </border>
    <border>
      <left style="dashed">
        <color indexed="9"/>
      </left>
      <right/>
      <top/>
      <bottom style="dashed">
        <color indexed="9"/>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ck">
        <color indexed="64"/>
      </left>
      <right style="thick">
        <color indexed="64"/>
      </right>
      <top style="thick">
        <color indexed="64"/>
      </top>
      <bottom/>
      <diagonal/>
    </border>
  </borders>
  <cellStyleXfs count="3">
    <xf numFmtId="0" fontId="0" fillId="0" borderId="0"/>
    <xf numFmtId="0" fontId="2" fillId="0" borderId="0" applyNumberFormat="0" applyFill="0" applyBorder="0" applyAlignment="0" applyProtection="0">
      <alignment vertical="top"/>
      <protection locked="0"/>
    </xf>
    <xf numFmtId="0" fontId="7" fillId="0" borderId="0"/>
  </cellStyleXfs>
  <cellXfs count="60">
    <xf numFmtId="0" fontId="0" fillId="0" borderId="0" xfId="0"/>
    <xf numFmtId="0" fontId="3" fillId="2" borderId="1" xfId="0" applyFont="1" applyFill="1" applyBorder="1" applyAlignment="1">
      <alignment wrapText="1"/>
    </xf>
    <xf numFmtId="0" fontId="3" fillId="2" borderId="2" xfId="0" applyFont="1" applyFill="1" applyBorder="1" applyAlignment="1">
      <alignment wrapText="1"/>
    </xf>
    <xf numFmtId="0" fontId="3" fillId="2" borderId="3" xfId="0" applyFont="1" applyFill="1" applyBorder="1" applyAlignment="1">
      <alignment wrapText="1"/>
    </xf>
    <xf numFmtId="0" fontId="4" fillId="2" borderId="4" xfId="0" applyFont="1" applyFill="1" applyBorder="1" applyAlignment="1">
      <alignment wrapText="1"/>
    </xf>
    <xf numFmtId="0" fontId="5" fillId="0" borderId="0" xfId="0" applyFont="1" applyFill="1" applyBorder="1"/>
    <xf numFmtId="0" fontId="4" fillId="2" borderId="5" xfId="0" applyFont="1" applyFill="1" applyBorder="1" applyAlignment="1">
      <alignment wrapText="1"/>
    </xf>
    <xf numFmtId="0" fontId="5" fillId="3" borderId="0" xfId="0" applyFont="1" applyFill="1" applyBorder="1"/>
    <xf numFmtId="0" fontId="4" fillId="2" borderId="0" xfId="0" applyFont="1" applyFill="1" applyBorder="1" applyAlignment="1">
      <alignment wrapText="1"/>
    </xf>
    <xf numFmtId="0" fontId="2" fillId="0" borderId="0" xfId="1" applyAlignment="1" applyProtection="1"/>
    <xf numFmtId="0" fontId="5" fillId="3" borderId="6" xfId="0" applyFont="1" applyFill="1" applyBorder="1"/>
    <xf numFmtId="0" fontId="0" fillId="0" borderId="0" xfId="0" applyFill="1" applyBorder="1"/>
    <xf numFmtId="0" fontId="5" fillId="3" borderId="7" xfId="0" applyFont="1" applyFill="1" applyBorder="1"/>
    <xf numFmtId="0" fontId="5" fillId="0" borderId="8" xfId="0" applyFont="1" applyFill="1" applyBorder="1"/>
    <xf numFmtId="0" fontId="6" fillId="0" borderId="8" xfId="0" applyFont="1" applyFill="1" applyBorder="1" applyAlignment="1">
      <alignment horizontal="right" wrapText="1"/>
    </xf>
    <xf numFmtId="0" fontId="5" fillId="0" borderId="9" xfId="0" applyFont="1" applyFill="1" applyBorder="1"/>
    <xf numFmtId="0" fontId="5" fillId="0" borderId="10" xfId="0" applyFont="1" applyFill="1" applyBorder="1"/>
    <xf numFmtId="0" fontId="5" fillId="0" borderId="11" xfId="0" applyFont="1" applyFill="1" applyBorder="1"/>
    <xf numFmtId="0" fontId="6" fillId="0" borderId="12" xfId="0" applyNumberFormat="1" applyFont="1" applyFill="1" applyBorder="1" applyAlignment="1">
      <alignment wrapText="1"/>
    </xf>
    <xf numFmtId="0" fontId="5" fillId="0" borderId="13" xfId="0" applyNumberFormat="1" applyFont="1" applyFill="1" applyBorder="1"/>
    <xf numFmtId="0" fontId="6" fillId="0" borderId="14" xfId="0" applyNumberFormat="1" applyFont="1" applyFill="1" applyBorder="1" applyAlignment="1">
      <alignment wrapText="1"/>
    </xf>
    <xf numFmtId="0" fontId="5" fillId="0" borderId="15" xfId="0" applyNumberFormat="1" applyFont="1" applyFill="1" applyBorder="1"/>
    <xf numFmtId="0" fontId="6" fillId="0" borderId="16" xfId="0" applyNumberFormat="1" applyFont="1" applyFill="1" applyBorder="1" applyAlignment="1">
      <alignment wrapText="1"/>
    </xf>
    <xf numFmtId="0" fontId="5" fillId="0" borderId="17" xfId="0" applyFont="1" applyFill="1" applyBorder="1"/>
    <xf numFmtId="0" fontId="6" fillId="3" borderId="18" xfId="0" applyFont="1" applyFill="1" applyBorder="1" applyAlignment="1">
      <alignment wrapText="1"/>
    </xf>
    <xf numFmtId="0" fontId="6" fillId="3" borderId="8" xfId="0" applyFont="1" applyFill="1" applyBorder="1" applyAlignment="1">
      <alignment wrapText="1"/>
    </xf>
    <xf numFmtId="0" fontId="5" fillId="3" borderId="18" xfId="0" applyFont="1" applyFill="1" applyBorder="1" applyAlignment="1">
      <alignment horizontal="center"/>
    </xf>
    <xf numFmtId="0" fontId="5" fillId="3" borderId="0" xfId="0" applyFont="1" applyFill="1" applyBorder="1" applyAlignment="1">
      <alignment horizontal="center"/>
    </xf>
    <xf numFmtId="0" fontId="5" fillId="3" borderId="8" xfId="0" applyFont="1" applyFill="1" applyBorder="1" applyAlignment="1">
      <alignment horizontal="center"/>
    </xf>
    <xf numFmtId="0" fontId="2" fillId="0" borderId="0" xfId="1" applyFill="1" applyBorder="1" applyAlignment="1" applyProtection="1"/>
    <xf numFmtId="0" fontId="7" fillId="0" borderId="0" xfId="0" applyFont="1"/>
    <xf numFmtId="0" fontId="5" fillId="0" borderId="0" xfId="0" applyFont="1" applyFill="1" applyBorder="1" applyAlignment="1">
      <alignment wrapText="1"/>
    </xf>
    <xf numFmtId="0" fontId="5" fillId="0" borderId="8" xfId="2" applyFont="1" applyFill="1" applyBorder="1"/>
    <xf numFmtId="0" fontId="6" fillId="0" borderId="8" xfId="2" applyFont="1" applyFill="1" applyBorder="1" applyAlignment="1">
      <alignment horizontal="right" wrapText="1"/>
    </xf>
    <xf numFmtId="0" fontId="5" fillId="0" borderId="0" xfId="2" applyFont="1" applyFill="1" applyBorder="1"/>
    <xf numFmtId="0" fontId="6" fillId="0" borderId="12" xfId="2" applyNumberFormat="1" applyFont="1" applyFill="1" applyBorder="1" applyAlignment="1">
      <alignment wrapText="1"/>
    </xf>
    <xf numFmtId="0" fontId="5" fillId="0" borderId="13" xfId="2" applyNumberFormat="1" applyFont="1" applyFill="1" applyBorder="1"/>
    <xf numFmtId="0" fontId="5" fillId="0" borderId="9" xfId="2" applyFont="1" applyFill="1" applyBorder="1"/>
    <xf numFmtId="0" fontId="6" fillId="0" borderId="14" xfId="2" applyNumberFormat="1" applyFont="1" applyFill="1" applyBorder="1" applyAlignment="1">
      <alignment wrapText="1"/>
    </xf>
    <xf numFmtId="0" fontId="5" fillId="0" borderId="15" xfId="2" applyNumberFormat="1" applyFont="1" applyFill="1" applyBorder="1"/>
    <xf numFmtId="0" fontId="5" fillId="0" borderId="10" xfId="2" applyFont="1" applyFill="1" applyBorder="1"/>
    <xf numFmtId="0" fontId="6" fillId="0" borderId="16" xfId="2" applyNumberFormat="1" applyFont="1" applyFill="1" applyBorder="1" applyAlignment="1">
      <alignment wrapText="1"/>
    </xf>
    <xf numFmtId="0" fontId="5" fillId="0" borderId="17" xfId="2" applyFont="1" applyFill="1" applyBorder="1"/>
    <xf numFmtId="0" fontId="5" fillId="0" borderId="11" xfId="2" applyFont="1" applyFill="1" applyBorder="1"/>
    <xf numFmtId="0" fontId="5" fillId="3" borderId="7" xfId="2" applyFont="1" applyFill="1" applyBorder="1"/>
    <xf numFmtId="0" fontId="5" fillId="3" borderId="0" xfId="2" applyFont="1" applyFill="1" applyBorder="1"/>
    <xf numFmtId="0" fontId="5" fillId="3" borderId="6" xfId="2" applyFont="1" applyFill="1" applyBorder="1"/>
    <xf numFmtId="0" fontId="6" fillId="3" borderId="18" xfId="2" applyFont="1" applyFill="1" applyBorder="1" applyAlignment="1">
      <alignment wrapText="1"/>
    </xf>
    <xf numFmtId="0" fontId="5" fillId="3" borderId="18" xfId="2" applyFont="1" applyFill="1" applyBorder="1" applyAlignment="1">
      <alignment horizontal="center"/>
    </xf>
    <xf numFmtId="0" fontId="5" fillId="3" borderId="0" xfId="2" applyFont="1" applyFill="1" applyBorder="1" applyAlignment="1">
      <alignment horizontal="center"/>
    </xf>
    <xf numFmtId="0" fontId="6" fillId="3" borderId="8" xfId="2" applyFont="1" applyFill="1" applyBorder="1" applyAlignment="1">
      <alignment wrapText="1"/>
    </xf>
    <xf numFmtId="0" fontId="5" fillId="3" borderId="8" xfId="2" applyFont="1" applyFill="1" applyBorder="1" applyAlignment="1">
      <alignment horizontal="center"/>
    </xf>
    <xf numFmtId="0" fontId="7" fillId="0" borderId="0" xfId="2" applyFill="1" applyBorder="1"/>
    <xf numFmtId="0" fontId="4" fillId="2" borderId="4" xfId="2" applyFont="1" applyFill="1" applyBorder="1" applyAlignment="1">
      <alignment wrapText="1"/>
    </xf>
    <xf numFmtId="0" fontId="4" fillId="2" borderId="5" xfId="2" applyFont="1" applyFill="1" applyBorder="1" applyAlignment="1">
      <alignment wrapText="1"/>
    </xf>
    <xf numFmtId="0" fontId="4" fillId="2" borderId="0" xfId="2" applyFont="1" applyFill="1" applyBorder="1" applyAlignment="1">
      <alignment wrapText="1"/>
    </xf>
    <xf numFmtId="0" fontId="3" fillId="2" borderId="3" xfId="2" applyFont="1" applyFill="1" applyBorder="1" applyAlignment="1">
      <alignment wrapText="1"/>
    </xf>
    <xf numFmtId="0" fontId="3" fillId="2" borderId="1" xfId="2" applyFont="1" applyFill="1" applyBorder="1" applyAlignment="1">
      <alignment wrapText="1"/>
    </xf>
    <xf numFmtId="0" fontId="3" fillId="2" borderId="2" xfId="2" applyFont="1" applyFill="1" applyBorder="1" applyAlignment="1">
      <alignment wrapText="1"/>
    </xf>
    <xf numFmtId="0" fontId="7" fillId="0" borderId="0" xfId="2"/>
  </cellXfs>
  <cellStyles count="3">
    <cellStyle name="Hyperlink" xfId="1" builtinId="8"/>
    <cellStyle name="Normal" xfId="0" builtinId="0"/>
    <cellStyle name="Normal 2" xfId="2"/>
  </cellStyles>
  <dxfs count="190">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ont>
        <color rgb="FF9C0006"/>
      </font>
      <fill>
        <patternFill>
          <bgColor rgb="FFFFC7CE"/>
        </patternFill>
      </fill>
    </dxf>
    <dxf>
      <font>
        <color rgb="FF9C0006"/>
      </font>
      <fill>
        <patternFill>
          <bgColor rgb="FFFFC7CE"/>
        </patternFill>
      </fill>
    </dxf>
    <dxf>
      <fill>
        <patternFill>
          <bgColor indexed="10"/>
        </patternFill>
      </fill>
    </dxf>
    <dxf>
      <fill>
        <patternFill>
          <bgColor indexed="11"/>
        </patternFill>
      </fill>
    </dxf>
    <dxf>
      <fill>
        <patternFill>
          <bgColor indexed="10"/>
        </patternFill>
      </fill>
    </dxf>
    <dxf>
      <fill>
        <patternFill>
          <bgColor indexed="1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sharedStrings" Target="sharedStrings.xml"/><Relationship Id="rId105" Type="http://schemas.openxmlformats.org/officeDocument/2006/relationships/customXml" Target="../customXml/item4.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styles" Target="styles.xml"/><Relationship Id="rId10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externalLink" Target="externalLinks/externalLink1.xml"/><Relationship Id="rId10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600075</xdr:colOff>
          <xdr:row>2</xdr:row>
          <xdr:rowOff>9525</xdr:rowOff>
        </xdr:from>
        <xdr:to>
          <xdr:col>4</xdr:col>
          <xdr:colOff>514350</xdr:colOff>
          <xdr:row>4</xdr:row>
          <xdr:rowOff>19050</xdr:rowOff>
        </xdr:to>
        <xdr:sp macro="" textlink="">
          <xdr:nvSpPr>
            <xdr:cNvPr id="29699" name="importButton" hidden="1">
              <a:extLst>
                <a:ext uri="{63B3BB69-23CF-44E3-9099-C40C66FF867C}">
                  <a14:compatExt spid="_x0000_s29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2</xdr:row>
          <xdr:rowOff>47625</xdr:rowOff>
        </xdr:from>
        <xdr:to>
          <xdr:col>7</xdr:col>
          <xdr:colOff>495300</xdr:colOff>
          <xdr:row>3</xdr:row>
          <xdr:rowOff>152400</xdr:rowOff>
        </xdr:to>
        <xdr:sp macro="" textlink="">
          <xdr:nvSpPr>
            <xdr:cNvPr id="29720" name="FuncAreaList" hidden="1">
              <a:extLst>
                <a:ext uri="{63B3BB69-23CF-44E3-9099-C40C66FF867C}">
                  <a14:compatExt spid="_x0000_s29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200025</xdr:colOff>
          <xdr:row>1</xdr:row>
          <xdr:rowOff>180975</xdr:rowOff>
        </xdr:from>
        <xdr:to>
          <xdr:col>4</xdr:col>
          <xdr:colOff>1352550</xdr:colOff>
          <xdr:row>2</xdr:row>
          <xdr:rowOff>219075</xdr:rowOff>
        </xdr:to>
        <xdr:sp macro="" textlink="">
          <xdr:nvSpPr>
            <xdr:cNvPr id="231427" name="CommandButton1" hidden="1">
              <a:extLst>
                <a:ext uri="{63B3BB69-23CF-44E3-9099-C40C66FF867C}">
                  <a14:compatExt spid="_x0000_s2314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CU_SCA_REPORT_4-15-2019/GCU_SCA_A_D_CONSOLIDATED_REPORT_4_15_201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Summary"/>
      <sheetName val="Template"/>
      <sheetName val="CSV_Lists"/>
      <sheetName val="ABORTAIR2GNDOPTST"/>
      <sheetName val="ABORTCMSCINITIATEDOPTST"/>
      <sheetName val="ABORTEPOPTST"/>
      <sheetName val="ABORTPWRUPOPTST"/>
      <sheetName val="ACBE_GENTESTLOAD"/>
      <sheetName val="ACBE_LOGIC"/>
      <sheetName val="ACINTERLOCK"/>
      <sheetName val="ADJATRUCCONTROL"/>
      <sheetName val="ADJATUBUSSRCPRIORITY"/>
      <sheetName val="ADJGCUUFAILSAFE"/>
      <sheetName val="ADJL235BUSSRCPRIORITY"/>
      <sheetName val="ADJR235BUSSRCPRIORITY"/>
      <sheetName val="AEP_POWER_AVAILABILITY"/>
      <sheetName val="AEPC"/>
      <sheetName val="AEPCCHATTERPROTECTION"/>
      <sheetName val="AEPCCONTROL"/>
      <sheetName val="AEPCFTCPROTECTION"/>
      <sheetName val="AEPRECPTLAMP"/>
      <sheetName val="AEPSWTLAMP"/>
      <sheetName val="AFSR_CALLBACK"/>
      <sheetName val="AFTEPATRUHVDCUVPROT"/>
      <sheetName val="AFTEPATRUOTPROT"/>
      <sheetName val="AFTEPATRUSATURATION"/>
      <sheetName val="AFTEPMAINTENANCE"/>
      <sheetName val="AGCUOC2LOCKRESETS"/>
      <sheetName val="AIR2GNDOPTST"/>
      <sheetName val="AIR2GNDOPTSTMODE1"/>
      <sheetName val="AIR2GNDOPTSTMODE1_HOTBATTERYFE"/>
      <sheetName val="AIR2GNDOPTSTMODE2"/>
      <sheetName val="AIR2GNDOPTSTMODE2_FAN1"/>
      <sheetName val="AIR2GNDOPTSTMODE2_FAN2"/>
      <sheetName val="AIR2GNDOPTSTTOPLEVEL"/>
      <sheetName val="ANY_LRUFAILED"/>
      <sheetName val="ASGENGSTART"/>
      <sheetName val="ASGOC2ISOLATION"/>
      <sheetName val="ASGOC2PROTECTION"/>
      <sheetName val="ASGOCISOLATION"/>
      <sheetName val="ASGOCPROTECTION"/>
      <sheetName val="ASGOF1PROTECTION"/>
      <sheetName val="ASGOF2PROTECTION"/>
      <sheetName val="ASGSRDFAILSAFEPROTECTION"/>
      <sheetName val="ASGUFPROTECTION"/>
      <sheetName val="ASGUNDERSPEED"/>
      <sheetName val="ASGUSCYCLING"/>
      <sheetName val="ASGUV2PROTECTION"/>
      <sheetName val="ATRUC"/>
      <sheetName val="ATRUCFTCPROTECTION"/>
      <sheetName val="ATRUCFTO"/>
      <sheetName val="ATRUCPROTTRIPRQST"/>
      <sheetName val="ATRUMAINTENANCE"/>
      <sheetName val="ATRURIPPLE1PROT"/>
      <sheetName val="ATRURIPPLE2PROT"/>
      <sheetName val="ATRURIPPLEPROT"/>
      <sheetName val="ATRUUNBVOLTPROT"/>
      <sheetName val="ATRUDIFFVOLTAGE"/>
      <sheetName val="ATUC"/>
      <sheetName val="ATUCFTCPROTECTION"/>
      <sheetName val="ATUCFTO1"/>
      <sheetName val="ATUCFTO2"/>
      <sheetName val="ATUCFTO3"/>
      <sheetName val="BBRLY"/>
      <sheetName val="BBRLYFTCPROTECTION"/>
      <sheetName val="BBRLYFTO"/>
      <sheetName val="BEARINGROTORPROTECTION"/>
      <sheetName val="BITE_EXECUTIVE"/>
      <sheetName val="BITE_HOOKS_AND_HANDLES"/>
      <sheetName val="BITE_IO"/>
      <sheetName val="BITE_UPDATE_DESIGN_NOTES"/>
      <sheetName val="BITE_UPDATE_SOFTWARE_HOOKS_OTH"/>
      <sheetName val="BUSATRUPROTECTION"/>
      <sheetName val="BUSOFFMAINTENANCE"/>
      <sheetName val="BUSSYNOPTICS"/>
      <sheetName val="BUSUVPROTECTON"/>
      <sheetName val="CALCULATE_PMGFREQUENCY"/>
      <sheetName val="CHATTERPROTECTION"/>
      <sheetName val="CMSCINITIATEDOPTST"/>
      <sheetName val="CMSCINITIATEDOPTST_ATRUCCACTRI"/>
      <sheetName val="CMSCINITIATEDOPTST_ATRUCEMPTRI"/>
      <sheetName val="CMSCINITIATEDOPTST_STARTCON (2"/>
      <sheetName val="CMSCINITIATEDOPTST_STARTCONTAC"/>
      <sheetName val="CMSCINITIATEDOPTSTTOPLEVEL"/>
      <sheetName val="CMSCSAFEINLKPROT"/>
      <sheetName val="CONTACTORPROTCOORD"/>
      <sheetName val="CONDITIONFIXEDTD"/>
      <sheetName val="CONDITIONFIXEDTDWITHINHIBIT"/>
      <sheetName val="DCCONTENTPROTECTION"/>
      <sheetName val="DCLINKMONPROTECTION"/>
      <sheetName val="DEBOUNCE_OWN235BUSRAWTARSRC"/>
      <sheetName val="DETERMINE_AIRCRAFTMODE"/>
      <sheetName val="DETERMINE_AIRCRAFTMODE_LIBRARY"/>
      <sheetName val="DETERMINE_OVTPUFAULT"/>
      <sheetName val="DPPROTECTION"/>
      <sheetName val="DUALASGCONTROL"/>
      <sheetName val="DUALASGMOD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K110"/>
  <sheetViews>
    <sheetView tabSelected="1" topLeftCell="A58" workbookViewId="0">
      <selection activeCell="B80" sqref="B80"/>
    </sheetView>
  </sheetViews>
  <sheetFormatPr defaultRowHeight="12.75" x14ac:dyDescent="0.2"/>
  <cols>
    <col min="2" max="2" width="44.42578125" customWidth="1"/>
    <col min="11" max="11" width="13.140625" hidden="1" customWidth="1"/>
  </cols>
  <sheetData>
    <row r="2" spans="1:11" x14ac:dyDescent="0.2">
      <c r="K2" s="30" t="s">
        <v>671</v>
      </c>
    </row>
    <row r="3" spans="1:11" x14ac:dyDescent="0.2">
      <c r="B3" s="9" t="s">
        <v>709</v>
      </c>
      <c r="K3" s="30" t="s">
        <v>672</v>
      </c>
    </row>
    <row r="4" spans="1:11" x14ac:dyDescent="0.2">
      <c r="B4" s="9" t="s">
        <v>714</v>
      </c>
      <c r="J4" t="s">
        <v>0</v>
      </c>
      <c r="K4" s="30" t="s">
        <v>673</v>
      </c>
    </row>
    <row r="5" spans="1:11" x14ac:dyDescent="0.2">
      <c r="A5" s="9"/>
      <c r="B5" s="9" t="s">
        <v>717</v>
      </c>
      <c r="K5" s="30" t="s">
        <v>674</v>
      </c>
    </row>
    <row r="6" spans="1:11" x14ac:dyDescent="0.2">
      <c r="B6" s="9" t="s">
        <v>720</v>
      </c>
      <c r="K6" s="30" t="s">
        <v>675</v>
      </c>
    </row>
    <row r="7" spans="1:11" x14ac:dyDescent="0.2">
      <c r="B7" s="9" t="s">
        <v>811</v>
      </c>
      <c r="K7" s="30" t="s">
        <v>676</v>
      </c>
    </row>
    <row r="8" spans="1:11" x14ac:dyDescent="0.2">
      <c r="B8" s="9" t="s">
        <v>831</v>
      </c>
      <c r="K8" s="30" t="s">
        <v>677</v>
      </c>
    </row>
    <row r="9" spans="1:11" x14ac:dyDescent="0.2">
      <c r="B9" s="9" t="s">
        <v>840</v>
      </c>
      <c r="K9" s="30" t="s">
        <v>678</v>
      </c>
    </row>
    <row r="10" spans="1:11" x14ac:dyDescent="0.2">
      <c r="B10" s="9" t="s">
        <v>856</v>
      </c>
      <c r="K10" s="30"/>
    </row>
    <row r="11" spans="1:11" x14ac:dyDescent="0.2">
      <c r="B11" s="9" t="s">
        <v>875</v>
      </c>
      <c r="K11" s="30"/>
    </row>
    <row r="12" spans="1:11" x14ac:dyDescent="0.2">
      <c r="B12" s="9" t="s">
        <v>884</v>
      </c>
      <c r="K12" s="30"/>
    </row>
    <row r="13" spans="1:11" x14ac:dyDescent="0.2">
      <c r="B13" s="9" t="s">
        <v>890</v>
      </c>
      <c r="K13" s="30"/>
    </row>
    <row r="14" spans="1:11" x14ac:dyDescent="0.2">
      <c r="B14" s="9" t="s">
        <v>894</v>
      </c>
      <c r="K14" s="30"/>
    </row>
    <row r="15" spans="1:11" x14ac:dyDescent="0.2">
      <c r="B15" s="9" t="s">
        <v>913</v>
      </c>
      <c r="K15" s="30"/>
    </row>
    <row r="16" spans="1:11" x14ac:dyDescent="0.2">
      <c r="B16" s="9" t="s">
        <v>929</v>
      </c>
      <c r="K16" s="30"/>
    </row>
    <row r="17" spans="2:11" x14ac:dyDescent="0.2">
      <c r="B17" s="9" t="s">
        <v>939</v>
      </c>
      <c r="K17" s="30"/>
    </row>
    <row r="18" spans="2:11" x14ac:dyDescent="0.2">
      <c r="B18" s="9" t="s">
        <v>956</v>
      </c>
      <c r="K18" s="30"/>
    </row>
    <row r="19" spans="2:11" x14ac:dyDescent="0.2">
      <c r="B19" s="9" t="s">
        <v>962</v>
      </c>
      <c r="K19" s="30"/>
    </row>
    <row r="20" spans="2:11" x14ac:dyDescent="0.2">
      <c r="B20" s="9" t="s">
        <v>975</v>
      </c>
      <c r="K20" s="30"/>
    </row>
    <row r="21" spans="2:11" x14ac:dyDescent="0.2">
      <c r="B21" s="9" t="s">
        <v>983</v>
      </c>
      <c r="K21" s="30"/>
    </row>
    <row r="22" spans="2:11" x14ac:dyDescent="0.2">
      <c r="B22" s="9" t="s">
        <v>994</v>
      </c>
      <c r="K22" s="30"/>
    </row>
    <row r="23" spans="2:11" x14ac:dyDescent="0.2">
      <c r="B23" s="9" t="s">
        <v>998</v>
      </c>
      <c r="K23" s="30"/>
    </row>
    <row r="24" spans="2:11" x14ac:dyDescent="0.2">
      <c r="B24" s="9" t="s">
        <v>1004</v>
      </c>
      <c r="K24" s="30"/>
    </row>
    <row r="25" spans="2:11" x14ac:dyDescent="0.2">
      <c r="B25" s="9" t="s">
        <v>1010</v>
      </c>
      <c r="K25" s="30"/>
    </row>
    <row r="26" spans="2:11" x14ac:dyDescent="0.2">
      <c r="B26" s="9" t="s">
        <v>1015</v>
      </c>
      <c r="K26" s="30"/>
    </row>
    <row r="27" spans="2:11" x14ac:dyDescent="0.2">
      <c r="B27" s="9" t="s">
        <v>1020</v>
      </c>
      <c r="K27" s="30"/>
    </row>
    <row r="28" spans="2:11" x14ac:dyDescent="0.2">
      <c r="B28" s="9" t="s">
        <v>1045</v>
      </c>
      <c r="K28" s="30"/>
    </row>
    <row r="29" spans="2:11" x14ac:dyDescent="0.2">
      <c r="B29" s="9" t="s">
        <v>1054</v>
      </c>
      <c r="K29" s="30"/>
    </row>
    <row r="30" spans="2:11" x14ac:dyDescent="0.2">
      <c r="B30" s="9" t="s">
        <v>1064</v>
      </c>
    </row>
    <row r="31" spans="2:11" x14ac:dyDescent="0.2">
      <c r="B31" s="9" t="s">
        <v>1075</v>
      </c>
    </row>
    <row r="32" spans="2:11" x14ac:dyDescent="0.2">
      <c r="B32" s="9" t="s">
        <v>1083</v>
      </c>
    </row>
    <row r="33" spans="2:2" x14ac:dyDescent="0.2">
      <c r="B33" s="9" t="s">
        <v>1087</v>
      </c>
    </row>
    <row r="34" spans="2:2" x14ac:dyDescent="0.2">
      <c r="B34" s="9" t="s">
        <v>1091</v>
      </c>
    </row>
    <row r="35" spans="2:2" x14ac:dyDescent="0.2">
      <c r="B35" s="9" t="s">
        <v>1094</v>
      </c>
    </row>
    <row r="36" spans="2:2" x14ac:dyDescent="0.2">
      <c r="B36" s="9" t="s">
        <v>1109</v>
      </c>
    </row>
    <row r="37" spans="2:2" x14ac:dyDescent="0.2">
      <c r="B37" s="9" t="s">
        <v>1121</v>
      </c>
    </row>
    <row r="38" spans="2:2" x14ac:dyDescent="0.2">
      <c r="B38" s="9" t="s">
        <v>1125</v>
      </c>
    </row>
    <row r="39" spans="2:2" x14ac:dyDescent="0.2">
      <c r="B39" s="9" t="s">
        <v>1149</v>
      </c>
    </row>
    <row r="40" spans="2:2" x14ac:dyDescent="0.2">
      <c r="B40" s="9" t="s">
        <v>1155</v>
      </c>
    </row>
    <row r="41" spans="2:2" x14ac:dyDescent="0.2">
      <c r="B41" s="9" t="s">
        <v>1159</v>
      </c>
    </row>
    <row r="42" spans="2:2" x14ac:dyDescent="0.2">
      <c r="B42" s="9" t="s">
        <v>1163</v>
      </c>
    </row>
    <row r="43" spans="2:2" x14ac:dyDescent="0.2">
      <c r="B43" s="9" t="s">
        <v>1171</v>
      </c>
    </row>
    <row r="44" spans="2:2" x14ac:dyDescent="0.2">
      <c r="B44" s="9" t="s">
        <v>1175</v>
      </c>
    </row>
    <row r="45" spans="2:2" x14ac:dyDescent="0.2">
      <c r="B45" s="9" t="s">
        <v>1179</v>
      </c>
    </row>
    <row r="46" spans="2:2" x14ac:dyDescent="0.2">
      <c r="B46" s="9" t="s">
        <v>1187</v>
      </c>
    </row>
    <row r="47" spans="2:2" x14ac:dyDescent="0.2">
      <c r="B47" s="9" t="s">
        <v>1212</v>
      </c>
    </row>
    <row r="48" spans="2:2" x14ac:dyDescent="0.2">
      <c r="B48" s="9" t="s">
        <v>1261</v>
      </c>
    </row>
    <row r="49" spans="2:2" x14ac:dyDescent="0.2">
      <c r="B49" s="9" t="s">
        <v>1269</v>
      </c>
    </row>
    <row r="50" spans="2:2" x14ac:dyDescent="0.2">
      <c r="B50" s="9" t="s">
        <v>1273</v>
      </c>
    </row>
    <row r="51" spans="2:2" x14ac:dyDescent="0.2">
      <c r="B51" s="9" t="s">
        <v>1295</v>
      </c>
    </row>
    <row r="52" spans="2:2" x14ac:dyDescent="0.2">
      <c r="B52" s="9" t="s">
        <v>1299</v>
      </c>
    </row>
    <row r="53" spans="2:2" x14ac:dyDescent="0.2">
      <c r="B53" s="9" t="s">
        <v>1307</v>
      </c>
    </row>
    <row r="54" spans="2:2" x14ac:dyDescent="0.2">
      <c r="B54" s="9" t="s">
        <v>1315</v>
      </c>
    </row>
    <row r="55" spans="2:2" x14ac:dyDescent="0.2">
      <c r="B55" s="9" t="s">
        <v>1319</v>
      </c>
    </row>
    <row r="56" spans="2:2" x14ac:dyDescent="0.2">
      <c r="B56" s="9" t="s">
        <v>1330</v>
      </c>
    </row>
    <row r="57" spans="2:2" x14ac:dyDescent="0.2">
      <c r="B57" s="9" t="s">
        <v>1345</v>
      </c>
    </row>
    <row r="58" spans="2:2" x14ac:dyDescent="0.2">
      <c r="B58" s="9" t="s">
        <v>1351</v>
      </c>
    </row>
    <row r="59" spans="2:2" x14ac:dyDescent="0.2">
      <c r="B59" s="9" t="s">
        <v>1357</v>
      </c>
    </row>
    <row r="60" spans="2:2" x14ac:dyDescent="0.2">
      <c r="B60" s="9" t="s">
        <v>1363</v>
      </c>
    </row>
    <row r="61" spans="2:2" x14ac:dyDescent="0.2">
      <c r="B61" s="9" t="s">
        <v>1367</v>
      </c>
    </row>
    <row r="62" spans="2:2" x14ac:dyDescent="0.2">
      <c r="B62" s="9" t="s">
        <v>1395</v>
      </c>
    </row>
    <row r="63" spans="2:2" x14ac:dyDescent="0.2">
      <c r="B63" s="9" t="s">
        <v>1410</v>
      </c>
    </row>
    <row r="64" spans="2:2" x14ac:dyDescent="0.2">
      <c r="B64" s="9" t="s">
        <v>1414</v>
      </c>
    </row>
    <row r="65" spans="2:2" x14ac:dyDescent="0.2">
      <c r="B65" s="9" t="s">
        <v>1418</v>
      </c>
    </row>
    <row r="66" spans="2:2" x14ac:dyDescent="0.2">
      <c r="B66" s="9" t="s">
        <v>1423</v>
      </c>
    </row>
    <row r="67" spans="2:2" x14ac:dyDescent="0.2">
      <c r="B67" s="9" t="s">
        <v>1445</v>
      </c>
    </row>
    <row r="68" spans="2:2" x14ac:dyDescent="0.2">
      <c r="B68" s="9" t="s">
        <v>1477</v>
      </c>
    </row>
    <row r="69" spans="2:2" x14ac:dyDescent="0.2">
      <c r="B69" s="9" t="s">
        <v>1482</v>
      </c>
    </row>
    <row r="70" spans="2:2" x14ac:dyDescent="0.2">
      <c r="B70" s="9" t="s">
        <v>1487</v>
      </c>
    </row>
    <row r="71" spans="2:2" x14ac:dyDescent="0.2">
      <c r="B71" s="9" t="s">
        <v>1504</v>
      </c>
    </row>
    <row r="72" spans="2:2" x14ac:dyDescent="0.2">
      <c r="B72" s="9" t="s">
        <v>1517</v>
      </c>
    </row>
    <row r="73" spans="2:2" x14ac:dyDescent="0.2">
      <c r="B73" s="9" t="s">
        <v>1520</v>
      </c>
    </row>
    <row r="74" spans="2:2" x14ac:dyDescent="0.2">
      <c r="B74" s="9" t="s">
        <v>1524</v>
      </c>
    </row>
    <row r="75" spans="2:2" x14ac:dyDescent="0.2">
      <c r="B75" s="9" t="s">
        <v>1527</v>
      </c>
    </row>
    <row r="76" spans="2:2" x14ac:dyDescent="0.2">
      <c r="B76" s="9" t="s">
        <v>1546</v>
      </c>
    </row>
    <row r="77" spans="2:2" x14ac:dyDescent="0.2">
      <c r="B77" s="9" t="s">
        <v>1552</v>
      </c>
    </row>
    <row r="78" spans="2:2" x14ac:dyDescent="0.2">
      <c r="B78" s="9" t="s">
        <v>1572</v>
      </c>
    </row>
    <row r="79" spans="2:2" x14ac:dyDescent="0.2">
      <c r="B79" s="9" t="s">
        <v>1590</v>
      </c>
    </row>
    <row r="80" spans="2:2" x14ac:dyDescent="0.2">
      <c r="B80" s="9" t="s">
        <v>1601</v>
      </c>
    </row>
    <row r="81" spans="2:2" x14ac:dyDescent="0.2">
      <c r="B81" s="9" t="s">
        <v>1607</v>
      </c>
    </row>
    <row r="82" spans="2:2" x14ac:dyDescent="0.2">
      <c r="B82" s="9" t="s">
        <v>1611</v>
      </c>
    </row>
    <row r="83" spans="2:2" x14ac:dyDescent="0.2">
      <c r="B83" s="9" t="s">
        <v>1624</v>
      </c>
    </row>
    <row r="84" spans="2:2" x14ac:dyDescent="0.2">
      <c r="B84" s="9" t="s">
        <v>1627</v>
      </c>
    </row>
    <row r="85" spans="2:2" x14ac:dyDescent="0.2">
      <c r="B85" s="9" t="s">
        <v>1630</v>
      </c>
    </row>
    <row r="86" spans="2:2" x14ac:dyDescent="0.2">
      <c r="B86" s="9" t="s">
        <v>1639</v>
      </c>
    </row>
    <row r="87" spans="2:2" x14ac:dyDescent="0.2">
      <c r="B87" s="9" t="s">
        <v>1646</v>
      </c>
    </row>
    <row r="88" spans="2:2" x14ac:dyDescent="0.2">
      <c r="B88" s="9" t="s">
        <v>1649</v>
      </c>
    </row>
    <row r="89" spans="2:2" x14ac:dyDescent="0.2">
      <c r="B89" s="9" t="s">
        <v>1655</v>
      </c>
    </row>
    <row r="90" spans="2:2" x14ac:dyDescent="0.2">
      <c r="B90" s="9" t="s">
        <v>1679</v>
      </c>
    </row>
    <row r="91" spans="2:2" x14ac:dyDescent="0.2">
      <c r="B91" s="9" t="s">
        <v>1691</v>
      </c>
    </row>
    <row r="92" spans="2:2" x14ac:dyDescent="0.2">
      <c r="B92" s="9" t="s">
        <v>1704</v>
      </c>
    </row>
    <row r="93" spans="2:2" x14ac:dyDescent="0.2">
      <c r="B93" s="9" t="s">
        <v>1918</v>
      </c>
    </row>
    <row r="94" spans="2:2" x14ac:dyDescent="0.2">
      <c r="B94" s="9" t="s">
        <v>1922</v>
      </c>
    </row>
    <row r="95" spans="2:2" x14ac:dyDescent="0.2">
      <c r="B95" s="9"/>
    </row>
    <row r="96" spans="2:2" x14ac:dyDescent="0.2">
      <c r="B96" s="9"/>
    </row>
    <row r="97" spans="2:2" x14ac:dyDescent="0.2">
      <c r="B97" s="9"/>
    </row>
    <row r="98" spans="2:2" x14ac:dyDescent="0.2">
      <c r="B98" s="9"/>
    </row>
    <row r="99" spans="2:2" x14ac:dyDescent="0.2">
      <c r="B99" s="9"/>
    </row>
    <row r="100" spans="2:2" x14ac:dyDescent="0.2">
      <c r="B100" s="9"/>
    </row>
    <row r="101" spans="2:2" x14ac:dyDescent="0.2">
      <c r="B101" s="9"/>
    </row>
    <row r="102" spans="2:2" x14ac:dyDescent="0.2">
      <c r="B102" s="9"/>
    </row>
    <row r="103" spans="2:2" x14ac:dyDescent="0.2">
      <c r="B103" s="9"/>
    </row>
    <row r="104" spans="2:2" x14ac:dyDescent="0.2">
      <c r="B104" s="9"/>
    </row>
    <row r="105" spans="2:2" x14ac:dyDescent="0.2">
      <c r="B105" s="9"/>
    </row>
    <row r="106" spans="2:2" x14ac:dyDescent="0.2">
      <c r="B106" s="9"/>
    </row>
    <row r="107" spans="2:2" x14ac:dyDescent="0.2">
      <c r="B107" s="9"/>
    </row>
    <row r="108" spans="2:2" x14ac:dyDescent="0.2">
      <c r="B108" s="9"/>
    </row>
    <row r="109" spans="2:2" x14ac:dyDescent="0.2">
      <c r="B109" s="9"/>
    </row>
    <row r="110" spans="2:2" x14ac:dyDescent="0.2">
      <c r="B110" s="9"/>
    </row>
  </sheetData>
  <sheetProtection selectLockedCells="1" selectUnlockedCells="1"/>
  <phoneticPr fontId="1" type="noConversion"/>
  <hyperlinks>
    <hyperlink ref="B3" location="ABORTAIR2GNDOPTST!A1" display="ABORTAIR2GNDOPTST"/>
    <hyperlink ref="B4" location="ABORTCMSCINITIATEDOPTST!A1" display="ABORTCMSCINITIATEDOPTST"/>
    <hyperlink ref="B5" location="ABORTEPOPTST!A1" display="ABORTEPOPTST"/>
    <hyperlink ref="B6" location="ABORTPWRUPOPTST!A1" display="ABORTPWRUPOPTST"/>
    <hyperlink ref="B7" location="ACBE_GENTESTLOAD!A1" display="ACBE_GENTESTLOAD"/>
    <hyperlink ref="B8" location="ACBE_LOGIC!A1" display="ACBE_LOGIC"/>
    <hyperlink ref="B9" location="ACINTERLOCK!A1" display="ACINTERLOCK"/>
    <hyperlink ref="B10" location="ADJATRUCCONTROL!A1" display="ADJATRUCCONTROL"/>
    <hyperlink ref="B11" location="ADJATUBUSSRCPRIORITY!A1" display="ADJATUBUSSRCPRIORITY"/>
    <hyperlink ref="B12" location="ADJGCUUFAILSAFE!A1" display="ADJGCUUFAILSAFE"/>
    <hyperlink ref="B13" location="ADJL235BUSSRCPRIORITY!A1" display="ADJL235BUSSRCPRIORITY"/>
    <hyperlink ref="B14" location="ADJR235BUSSRCPRIORITY!A1" display="ADJR235BUSSRCPRIORITY"/>
    <hyperlink ref="B15" location="AEP_POWER_AVAILABILITY!A1" display="AEP_POWER_AVAILABILITY"/>
    <hyperlink ref="B16" location="AEPC!A1" display="AEPC"/>
    <hyperlink ref="B17" location="AEPCCHATTERPROTECTION!A1" display="AEPCCHATTERPROTECTION"/>
    <hyperlink ref="B18" location="AEPCCONTROL!A1" display="AEPCCONTROL"/>
    <hyperlink ref="B19" location="AEPCFTCPROTECTION!A1" display="AEPCFTCPROTECTION"/>
    <hyperlink ref="B20" location="AEPRECPTLAMP!A1" display="AEPRECPTLAMP"/>
    <hyperlink ref="B21" location="AEPSWTLAMP!A1" display="AEPSWTLAMP"/>
    <hyperlink ref="B22" location="AFSR_CALLBACK!A1" display="AFSR_CALLBACK"/>
    <hyperlink ref="B23" location="AFTEPATRUHVDCUVPROT!A1" display="AFTEPATRUHVDCUVPROT"/>
    <hyperlink ref="B24" location="AFTEPATRUOTPROT!A1" display="AFTEPATRUOTPROT"/>
    <hyperlink ref="B25" location="AFTEPATRUSATURATION!A1" display="AFTEPATRUSATURATION"/>
    <hyperlink ref="B26" location="AFTEPMAINTENANCE!A1" display="AFTEPMAINTENANCE"/>
    <hyperlink ref="B27" location="AGCUOC2LOCKRESETS!A1" display="AGCUOC2LOCKRESETS"/>
    <hyperlink ref="B28" location="AIR2GNDOPTST!A1" display="AIR2GNDOPTST"/>
    <hyperlink ref="B29" location="AIR2GNDOPTSTMODE1!A1" display="AIR2GNDOPTSTMODE1"/>
    <hyperlink ref="B30" location="AIR2GNDOPTSTMODE1_HOTBATTERYFE!A1" display="AIR2GNDOPTSTMODE1_HOTBATTERYFE"/>
    <hyperlink ref="B31" location="AIR2GNDOPTSTMODE2!A1" display="AIR2GNDOPTSTMODE2"/>
    <hyperlink ref="B32" location="AIR2GNDOPTSTMODE2_FAN1!A1" display="AIR2GNDOPTSTMODE2_FAN1"/>
    <hyperlink ref="B33" location="AIR2GNDOPTSTMODE2_FAN2!A1" display="AIR2GNDOPTSTMODE2_FAN2"/>
    <hyperlink ref="B34" location="AIR2GNDOPTSTTOPLEVEL!A1" display="AIR2GNDOPTSTTOPLEVEL"/>
    <hyperlink ref="B35" location="ANY_LRUFAILED!A1" display="ANY_LRUFAILED"/>
    <hyperlink ref="B36" location="ASGENGSTART!A1" display="ASGENGSTART"/>
    <hyperlink ref="B37" location="ASGOC2ISOLATION!A1" display="ASGOC2ISOLATION"/>
    <hyperlink ref="B38" location="ASGOC2PROTECTION!A1" display="ASGOC2PROTECTION"/>
    <hyperlink ref="B39" location="ASGOCISOLATION!A1" display="ASGOCISOLATION"/>
    <hyperlink ref="B40" location="ASGOCPROTECTION!A1" display="ASGOCPROTECTION"/>
    <hyperlink ref="B41" location="ASGOF1PROTECTION!A1" display="ASGOF1PROTECTION"/>
    <hyperlink ref="B42" location="ASGOF2PROTECTION!A1" display="ASGOF2PROTECTION"/>
    <hyperlink ref="B43" location="ASGSRDFAILSAFEPROTECTION!A1" display="ASGSRDFAILSAFEPROTECTION"/>
    <hyperlink ref="B44" location="ASGUFPROTECTION!A1" display="ASGUFPROTECTION"/>
    <hyperlink ref="B45" location="ASGUNDERSPEED!A1" display="ASGUNDERSPEED"/>
    <hyperlink ref="B46" location="ASGUSCYCLING!A1" display="ASGUSCYCLING"/>
    <hyperlink ref="B47" location="ASGUV2PROTECTION!A1" display="ASGUV2PROTECTION"/>
    <hyperlink ref="B48" location="ATRUC!A1" display="ATRUC"/>
    <hyperlink ref="B49" location="ATRUCFTCPROTECTION!A1" display="ATRUCFTCPROTECTION"/>
    <hyperlink ref="B50" location="ATRUCFTO!A1" display="ATRUCFTO"/>
    <hyperlink ref="B51" location="ATRUCPROTTRIPRQST!A1" display="ATRUCPROTTRIPRQST"/>
    <hyperlink ref="B52" location="ATRUMAINTENANCE!A1" display="ATRUMAINTENANCE"/>
    <hyperlink ref="B53" location="ATRURIPPLE1PROT!A1" display="ATRURIPPLE1PROT"/>
    <hyperlink ref="B54" location="ATRURIPPLE2PROT!A1" display="ATRURIPPLE2PROT"/>
    <hyperlink ref="B55" location="ATRURIPPLEPROT!A1" display="ATRURIPPLEPROT"/>
    <hyperlink ref="B56" location="ATRUUNBVOLTPROT!A1" display="ATRUUNBVOLTPROT"/>
    <hyperlink ref="B57" location="ATUC!A1" display="ATUC"/>
    <hyperlink ref="B58" location="ATUCFTCPROTECTION!A1" display="ATUCFTCPROTECTION"/>
    <hyperlink ref="B59" location="ATUCFTO1!A1" display="ATUCFTO1"/>
    <hyperlink ref="B60" location="ATUCFTO2!A1" display="ATUCFTO2"/>
    <hyperlink ref="B61" location="ATUCFTO3!A1" display="ATUCFTO3"/>
    <hyperlink ref="B62" location="BBRLY!A1" display="BBRLY"/>
    <hyperlink ref="B63" location="BBRLYFTCPROTECTION!A1" display="BBRLYFTCPROTECTION"/>
    <hyperlink ref="B64" location="BBRLYFTO!A1" display="BBRLYFTO"/>
    <hyperlink ref="B65" location="BEARINGROTORPROTECTION!A1" display="BEARINGROTORPROTECTION"/>
    <hyperlink ref="B66" location="BITE_EXECUTIVE!A1" display="BITE_EXECUTIVE"/>
    <hyperlink ref="B67" location="BITE_HOOKS_AND_HANDLES!A1" display="BITE_HOOKS_AND_HANDLES"/>
    <hyperlink ref="B68" location="BITE_IO!A1" display="BITE_IO"/>
    <hyperlink ref="B69" location="BITE_UPDATE_DESIGN_NOTES!A1" display="BITE_UPDATE_DESIGN_NOTES"/>
    <hyperlink ref="B70" location="BITE_UPDATE_SOFTWARE_HOOKS_OTH!A1" display="BITE_UPDATE_SOFTWARE_HOOKS_OTH"/>
    <hyperlink ref="B71" location="BUSATRUPROTECTION!A1" display="BUSATRUPROTECTION"/>
    <hyperlink ref="B72" location="BUSOFFMAINTENANCE!A1" display="BUSOFFMAINTENANCE"/>
    <hyperlink ref="B73" location="BUSSYNOPTICS!A1" display="BUSSYNOPTICS"/>
    <hyperlink ref="B74" location="BUSUVPROTECTON!A1" display="BUSUVPROTECTON"/>
    <hyperlink ref="B75" location="CALCULATE_PMGFREQUENCY!A1" display="CALCULATE_PMGFREQUENCY"/>
    <hyperlink ref="B76" location="CHATTERPROTECTION!A1" display="CHATTERPROTECTION"/>
    <hyperlink ref="B77" location="CMSCINITIATEDOPTST!A1" display="CMSCINITIATEDOPTST"/>
    <hyperlink ref="B78" location="CMSCINITIATEDOPTST_ATRUCCACTRI!A1" display="CMSCINITIATEDOPTST_ATRUCCACTRI"/>
    <hyperlink ref="B79" location="CMSCINITIATEDOPTST_ATRUCEMPTRI!A1" display="CMSCINITIATEDOPTST_ATRUCEMPTRI"/>
    <hyperlink ref="B80" location="CMSCINITIATEDOPTST_STARTCONTAC!A1" display="CMSCINITIATEDOPTST_STARTCONTAC"/>
    <hyperlink ref="B81" location="CMSCINITIATEDOPTSTTOPLEVEL!A1" display="CMSCINITIATEDOPTSTTOPLEVEL"/>
    <hyperlink ref="B82" location="CMSCSAFEINLKPROT!A1" display="CMSCSAFEINLKPROT"/>
    <hyperlink ref="B83" location="CONTACTORPROTCOORD!A1" display="CONTACTORPROTCOORD"/>
    <hyperlink ref="B84" location="CONDITIONFIXEDTD!A1" display="CONDITIONFIXEDTD"/>
    <hyperlink ref="B85" location="CONDITIONFIXEDTDWITHINHIBIT!A1" display="CONDITIONFIXEDTDWITHINHIBIT"/>
    <hyperlink ref="B86" location="DCCONTENTPROTECTION!A1" display="DCCONTENTPROTECTION"/>
    <hyperlink ref="B87" location="DCLINKMONPROTECTION!A1" display="DCLINKMONPROTECTION"/>
    <hyperlink ref="B88" location="DEBOUNCE_OWN235BUSRAWTARSRC!A1" display="DEBOUNCE_OWN235BUSRAWTARSRC"/>
    <hyperlink ref="B89" location="DETERMINE_AIRCRAFTMODE!A1" display="DETERMINE_AIRCRAFTMODE"/>
    <hyperlink ref="B90" location="DETERMINE_AIRCRAFTMODE_LIBRARY!A1" display="DETERMINE_AIRCRAFTMODE_LIBRARY"/>
    <hyperlink ref="B91" location="DETERMINE_OVTPUFAULT!A1" display="DETERMINE_OVTPUFAULT"/>
    <hyperlink ref="B92" location="DPPROTECTION!A1" display="DPPROTECTION"/>
    <hyperlink ref="B93" location="DUALASGCONTROL!A1" display="DUALASGCONTROL"/>
    <hyperlink ref="B94" location="DUALASGMODE!A1" display="DUALASGMODE"/>
  </hyperlink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29699" r:id="rId4" name="importButton">
          <controlPr defaultSize="0" autoLine="0" r:id="rId5">
            <anchor moveWithCells="1">
              <from>
                <xdr:col>2</xdr:col>
                <xdr:colOff>600075</xdr:colOff>
                <xdr:row>2</xdr:row>
                <xdr:rowOff>9525</xdr:rowOff>
              </from>
              <to>
                <xdr:col>4</xdr:col>
                <xdr:colOff>514350</xdr:colOff>
                <xdr:row>4</xdr:row>
                <xdr:rowOff>19050</xdr:rowOff>
              </to>
            </anchor>
          </controlPr>
        </control>
      </mc:Choice>
      <mc:Fallback>
        <control shapeId="29699" r:id="rId4" name="importButton"/>
      </mc:Fallback>
    </mc:AlternateContent>
    <mc:AlternateContent xmlns:mc="http://schemas.openxmlformats.org/markup-compatibility/2006">
      <mc:Choice Requires="x14">
        <control shapeId="29720" r:id="rId6" name="FuncAreaList">
          <controlPr autoLine="0" listFillRange="K2:K9" r:id="rId7">
            <anchor moveWithCells="1">
              <from>
                <xdr:col>5</xdr:col>
                <xdr:colOff>228600</xdr:colOff>
                <xdr:row>2</xdr:row>
                <xdr:rowOff>47625</xdr:rowOff>
              </from>
              <to>
                <xdr:col>7</xdr:col>
                <xdr:colOff>495300</xdr:colOff>
                <xdr:row>3</xdr:row>
                <xdr:rowOff>152400</xdr:rowOff>
              </to>
            </anchor>
          </controlPr>
        </control>
      </mc:Choice>
      <mc:Fallback>
        <control shapeId="29720" r:id="rId6" name="FuncAreaList"/>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H18"/>
  <sheetViews>
    <sheetView workbookViewId="0">
      <selection activeCell="E18" sqref="E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v>3595</v>
      </c>
      <c r="C2" s="15">
        <v>3543</v>
      </c>
    </row>
    <row r="3" spans="1:5" ht="22.5" x14ac:dyDescent="0.2">
      <c r="A3" s="20" t="s">
        <v>15</v>
      </c>
      <c r="B3" s="21">
        <v>318</v>
      </c>
      <c r="C3" s="16">
        <v>311</v>
      </c>
      <c r="E3" s="29"/>
    </row>
    <row r="4" spans="1:5" ht="22.5" x14ac:dyDescent="0.2">
      <c r="A4" s="20" t="s">
        <v>16</v>
      </c>
      <c r="B4" s="21">
        <v>11568</v>
      </c>
      <c r="C4" s="16">
        <v>11458</v>
      </c>
      <c r="E4" s="29"/>
    </row>
    <row r="5" spans="1:5" ht="22.5" x14ac:dyDescent="0.2">
      <c r="A5" s="20" t="s">
        <v>17</v>
      </c>
      <c r="B5" s="21">
        <v>4378</v>
      </c>
      <c r="C5" s="16">
        <v>4327</v>
      </c>
    </row>
    <row r="6" spans="1:5" x14ac:dyDescent="0.2">
      <c r="A6" s="20"/>
      <c r="B6" s="21"/>
      <c r="C6" s="16"/>
    </row>
    <row r="7" spans="1:5" ht="13.5" thickBot="1" x14ac:dyDescent="0.25">
      <c r="A7" s="22" t="s">
        <v>13</v>
      </c>
      <c r="B7" s="23">
        <f>SUM(B2:B5)</f>
        <v>19859</v>
      </c>
      <c r="C7" s="17">
        <f>SUM(C2:C5)</f>
        <v>19639</v>
      </c>
    </row>
    <row r="8" spans="1:5" x14ac:dyDescent="0.2">
      <c r="A8" s="12"/>
      <c r="B8" s="7"/>
      <c r="C8" s="7"/>
    </row>
    <row r="9" spans="1:5" ht="13.5" thickBot="1" x14ac:dyDescent="0.25">
      <c r="A9" s="10"/>
      <c r="B9" s="7"/>
      <c r="C9" s="7"/>
    </row>
    <row r="10" spans="1:5" ht="24" thickTop="1" thickBot="1" x14ac:dyDescent="0.25">
      <c r="A10" s="24" t="s">
        <v>18</v>
      </c>
      <c r="B10" s="26">
        <f>B7-C7</f>
        <v>220</v>
      </c>
      <c r="C10" s="27"/>
    </row>
    <row r="11" spans="1:5" ht="13.5" thickBot="1" x14ac:dyDescent="0.25">
      <c r="A11" s="25" t="s">
        <v>21</v>
      </c>
      <c r="B11" s="28"/>
      <c r="C11" s="28">
        <v>0</v>
      </c>
    </row>
    <row r="12" spans="1:5" ht="23.25" thickBot="1" x14ac:dyDescent="0.25">
      <c r="A12" s="25" t="s">
        <v>22</v>
      </c>
      <c r="B12" s="28"/>
      <c r="C12" s="28">
        <v>16</v>
      </c>
    </row>
    <row r="13" spans="1:5" ht="23.25" thickBot="1" x14ac:dyDescent="0.25">
      <c r="A13" s="25" t="s">
        <v>23</v>
      </c>
      <c r="B13" s="28"/>
      <c r="C13" s="28">
        <v>60</v>
      </c>
    </row>
    <row r="14" spans="1:5" ht="23.25" thickBot="1" x14ac:dyDescent="0.25">
      <c r="A14" s="25" t="s">
        <v>24</v>
      </c>
      <c r="B14" s="28"/>
      <c r="C14" s="28">
        <v>0</v>
      </c>
    </row>
    <row r="15" spans="1:5" ht="13.5" thickBot="1" x14ac:dyDescent="0.25">
      <c r="A15" s="25" t="s">
        <v>19</v>
      </c>
      <c r="B15" s="28"/>
      <c r="C15" s="28">
        <v>144</v>
      </c>
    </row>
    <row r="16" spans="1:5" ht="23.25" thickBot="1" x14ac:dyDescent="0.25">
      <c r="A16" s="25" t="s">
        <v>20</v>
      </c>
      <c r="B16" s="28"/>
      <c r="C16" s="28">
        <v>0</v>
      </c>
    </row>
    <row r="17" spans="2:3" x14ac:dyDescent="0.2">
      <c r="B17" s="5" t="s">
        <v>26</v>
      </c>
      <c r="C17" s="5">
        <f>SUM(C11:C16)</f>
        <v>220</v>
      </c>
    </row>
    <row r="18" spans="2:3" x14ac:dyDescent="0.2">
      <c r="B18" s="5" t="s">
        <v>25</v>
      </c>
      <c r="C18" s="5">
        <f>B10-C17</f>
        <v>0</v>
      </c>
    </row>
  </sheetData>
  <phoneticPr fontId="1" type="noConversion"/>
  <conditionalFormatting sqref="C17">
    <cfRule type="cellIs" dxfId="189" priority="1" stopIfTrue="1" operator="equal">
      <formula>$B$10</formula>
    </cfRule>
    <cfRule type="cellIs" dxfId="188" priority="2" stopIfTrue="1" operator="notEqual">
      <formula>$B$10</formula>
    </cfRule>
  </conditionalFormatting>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231427" r:id="rId4" name="CommandButton1">
          <controlPr autoLine="0" r:id="rId5">
            <anchor moveWithCells="1">
              <from>
                <xdr:col>4</xdr:col>
                <xdr:colOff>200025</xdr:colOff>
                <xdr:row>1</xdr:row>
                <xdr:rowOff>180975</xdr:rowOff>
              </from>
              <to>
                <xdr:col>4</xdr:col>
                <xdr:colOff>1352550</xdr:colOff>
                <xdr:row>2</xdr:row>
                <xdr:rowOff>219075</xdr:rowOff>
              </to>
            </anchor>
          </controlPr>
        </control>
      </mc:Choice>
      <mc:Fallback>
        <control shapeId="231427"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0"/>
  </sheetPr>
  <dimension ref="A1:H18"/>
  <sheetViews>
    <sheetView workbookViewId="0">
      <selection activeCell="E25" sqref="E25"/>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0</v>
      </c>
      <c r="C2" s="15">
        <f>IF(ISERROR(VALUE(TRIM(CLEAN(MID(C20,FIND("(",C20)+1,FIND("/",C20,1)-FIND("(",C20)-1))))),0,VALUE(TRIM(CLEAN(MID(C20,FIND("(",C20)+1,FIND("/",C20,1)-FIND("(",C20)-1)))))</f>
        <v>0</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0</v>
      </c>
      <c r="C4" s="16">
        <f>IF(ISERROR(VALUE(TRIM(CLEAN(MID(C23,FIND("(",C23)+1,FIND("/",C23,1)-FIND("(",C23)-1))))),0,VALUE(TRIM(CLEAN(MID(C23,FIND("(",C23)+1,FIND("/",C23,1)-FIND("(",C23)-1)))))</f>
        <v>0</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0</v>
      </c>
      <c r="C7" s="17">
        <f>SUM(C2:C5)</f>
        <v>0</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sheetData>
  <autoFilter ref="A18:H18"/>
  <phoneticPr fontId="1" type="noConversion"/>
  <conditionalFormatting sqref="C17">
    <cfRule type="cellIs" dxfId="187" priority="1" stopIfTrue="1" operator="equal">
      <formula>$B$10</formula>
    </cfRule>
    <cfRule type="cellIs" dxfId="186"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sheetPr>
  <dimension ref="A1:O113"/>
  <sheetViews>
    <sheetView topLeftCell="I1" workbookViewId="0">
      <selection activeCell="H1" sqref="A1:H1048576"/>
    </sheetView>
  </sheetViews>
  <sheetFormatPr defaultColWidth="9.140625" defaultRowHeight="12.75" x14ac:dyDescent="0.2"/>
  <cols>
    <col min="1" max="1" width="77.42578125" hidden="1" customWidth="1"/>
    <col min="2" max="2" width="49.85546875" hidden="1" customWidth="1"/>
    <col min="3" max="3" width="48" hidden="1" customWidth="1"/>
    <col min="4" max="4" width="55.28515625" hidden="1" customWidth="1"/>
    <col min="5" max="5" width="51.42578125" hidden="1" customWidth="1"/>
    <col min="6" max="6" width="52.5703125" hidden="1" customWidth="1"/>
    <col min="7" max="7" width="50.7109375" hidden="1" customWidth="1"/>
    <col min="8" max="8" width="51.85546875" hidden="1" customWidth="1"/>
    <col min="9" max="29" width="9.140625" customWidth="1"/>
  </cols>
  <sheetData>
    <row r="1" spans="1:15" x14ac:dyDescent="0.2">
      <c r="A1" t="s">
        <v>27</v>
      </c>
      <c r="B1" t="s">
        <v>121</v>
      </c>
      <c r="C1" t="s">
        <v>227</v>
      </c>
      <c r="D1" t="s">
        <v>692</v>
      </c>
      <c r="E1" t="s">
        <v>410</v>
      </c>
      <c r="F1" t="s">
        <v>500</v>
      </c>
      <c r="G1" t="s">
        <v>575</v>
      </c>
      <c r="H1" t="s">
        <v>619</v>
      </c>
    </row>
    <row r="2" spans="1:15" x14ac:dyDescent="0.2">
      <c r="A2" t="s">
        <v>28</v>
      </c>
      <c r="B2" t="s">
        <v>122</v>
      </c>
      <c r="C2" t="s">
        <v>228</v>
      </c>
      <c r="D2" t="s">
        <v>693</v>
      </c>
      <c r="E2" t="s">
        <v>411</v>
      </c>
      <c r="F2" t="s">
        <v>501</v>
      </c>
      <c r="G2" t="s">
        <v>576</v>
      </c>
      <c r="H2" t="s">
        <v>620</v>
      </c>
    </row>
    <row r="3" spans="1:15" x14ac:dyDescent="0.2">
      <c r="A3" t="s">
        <v>29</v>
      </c>
      <c r="B3" t="s">
        <v>123</v>
      </c>
      <c r="C3" t="s">
        <v>229</v>
      </c>
      <c r="D3" t="s">
        <v>337</v>
      </c>
      <c r="E3" t="s">
        <v>412</v>
      </c>
      <c r="F3" t="s">
        <v>502</v>
      </c>
      <c r="G3" t="s">
        <v>679</v>
      </c>
      <c r="H3" t="s">
        <v>621</v>
      </c>
    </row>
    <row r="4" spans="1:15" x14ac:dyDescent="0.2">
      <c r="A4" t="s">
        <v>30</v>
      </c>
      <c r="B4" t="s">
        <v>124</v>
      </c>
      <c r="C4" t="s">
        <v>230</v>
      </c>
      <c r="D4" t="s">
        <v>338</v>
      </c>
      <c r="E4" t="s">
        <v>413</v>
      </c>
      <c r="F4" t="s">
        <v>503</v>
      </c>
      <c r="G4" t="s">
        <v>577</v>
      </c>
      <c r="H4" t="s">
        <v>622</v>
      </c>
    </row>
    <row r="5" spans="1:15" x14ac:dyDescent="0.2">
      <c r="A5" t="s">
        <v>31</v>
      </c>
      <c r="B5" t="s">
        <v>125</v>
      </c>
      <c r="C5" t="s">
        <v>231</v>
      </c>
      <c r="D5" t="s">
        <v>339</v>
      </c>
      <c r="E5" t="s">
        <v>414</v>
      </c>
      <c r="F5" t="s">
        <v>504</v>
      </c>
      <c r="G5" t="s">
        <v>578</v>
      </c>
      <c r="H5" t="s">
        <v>623</v>
      </c>
    </row>
    <row r="6" spans="1:15" x14ac:dyDescent="0.2">
      <c r="A6" t="s">
        <v>32</v>
      </c>
      <c r="B6" t="s">
        <v>126</v>
      </c>
      <c r="C6" t="s">
        <v>232</v>
      </c>
      <c r="D6" t="s">
        <v>340</v>
      </c>
      <c r="E6" t="s">
        <v>415</v>
      </c>
      <c r="F6" t="s">
        <v>505</v>
      </c>
      <c r="G6" t="s">
        <v>579</v>
      </c>
      <c r="H6" t="s">
        <v>624</v>
      </c>
    </row>
    <row r="7" spans="1:15" x14ac:dyDescent="0.2">
      <c r="A7" t="s">
        <v>33</v>
      </c>
      <c r="B7" t="s">
        <v>127</v>
      </c>
      <c r="C7" t="s">
        <v>233</v>
      </c>
      <c r="D7" t="s">
        <v>341</v>
      </c>
      <c r="E7" t="s">
        <v>416</v>
      </c>
      <c r="F7" t="s">
        <v>506</v>
      </c>
      <c r="G7" t="s">
        <v>580</v>
      </c>
      <c r="H7" t="s">
        <v>625</v>
      </c>
    </row>
    <row r="8" spans="1:15" x14ac:dyDescent="0.2">
      <c r="A8" t="s">
        <v>34</v>
      </c>
      <c r="B8" t="s">
        <v>128</v>
      </c>
      <c r="C8" t="s">
        <v>234</v>
      </c>
      <c r="D8" t="s">
        <v>342</v>
      </c>
      <c r="E8" t="s">
        <v>417</v>
      </c>
      <c r="F8" t="s">
        <v>507</v>
      </c>
      <c r="G8" t="s">
        <v>697</v>
      </c>
      <c r="H8" t="s">
        <v>626</v>
      </c>
    </row>
    <row r="9" spans="1:15" x14ac:dyDescent="0.2">
      <c r="A9" t="s">
        <v>35</v>
      </c>
      <c r="B9" t="s">
        <v>129</v>
      </c>
      <c r="C9" t="s">
        <v>235</v>
      </c>
      <c r="D9" t="s">
        <v>343</v>
      </c>
      <c r="E9" t="s">
        <v>418</v>
      </c>
      <c r="F9" t="s">
        <v>508</v>
      </c>
      <c r="G9" t="s">
        <v>698</v>
      </c>
      <c r="H9" t="s">
        <v>627</v>
      </c>
    </row>
    <row r="10" spans="1:15" x14ac:dyDescent="0.2">
      <c r="A10" t="s">
        <v>36</v>
      </c>
      <c r="B10" t="s">
        <v>130</v>
      </c>
      <c r="C10" t="s">
        <v>236</v>
      </c>
      <c r="D10" t="s">
        <v>344</v>
      </c>
      <c r="E10" t="s">
        <v>419</v>
      </c>
      <c r="F10" t="s">
        <v>509</v>
      </c>
      <c r="G10" t="s">
        <v>581</v>
      </c>
      <c r="H10" t="s">
        <v>700</v>
      </c>
    </row>
    <row r="11" spans="1:15" x14ac:dyDescent="0.2">
      <c r="A11" t="s">
        <v>37</v>
      </c>
      <c r="B11" t="s">
        <v>685</v>
      </c>
      <c r="C11" t="s">
        <v>237</v>
      </c>
      <c r="D11" t="s">
        <v>345</v>
      </c>
      <c r="E11" t="s">
        <v>420</v>
      </c>
      <c r="F11" t="s">
        <v>510</v>
      </c>
      <c r="G11" t="s">
        <v>582</v>
      </c>
      <c r="H11" t="s">
        <v>628</v>
      </c>
    </row>
    <row r="12" spans="1:15" x14ac:dyDescent="0.2">
      <c r="A12" t="s">
        <v>38</v>
      </c>
      <c r="B12" t="s">
        <v>686</v>
      </c>
      <c r="C12" t="s">
        <v>238</v>
      </c>
      <c r="D12" t="s">
        <v>346</v>
      </c>
      <c r="E12" t="s">
        <v>421</v>
      </c>
      <c r="F12" t="s">
        <v>511</v>
      </c>
      <c r="G12" t="s">
        <v>583</v>
      </c>
      <c r="H12" t="s">
        <v>629</v>
      </c>
    </row>
    <row r="13" spans="1:15" x14ac:dyDescent="0.2">
      <c r="A13" t="s">
        <v>39</v>
      </c>
      <c r="B13" t="s">
        <v>131</v>
      </c>
      <c r="C13" t="s">
        <v>239</v>
      </c>
      <c r="D13" t="s">
        <v>347</v>
      </c>
      <c r="E13" t="s">
        <v>422</v>
      </c>
      <c r="F13" t="s">
        <v>512</v>
      </c>
      <c r="G13" t="s">
        <v>584</v>
      </c>
      <c r="H13" t="s">
        <v>630</v>
      </c>
      <c r="O13" s="30"/>
    </row>
    <row r="14" spans="1:15" x14ac:dyDescent="0.2">
      <c r="A14" t="s">
        <v>40</v>
      </c>
      <c r="B14" t="s">
        <v>132</v>
      </c>
      <c r="C14" t="s">
        <v>240</v>
      </c>
      <c r="D14" t="s">
        <v>694</v>
      </c>
      <c r="E14" t="s">
        <v>423</v>
      </c>
      <c r="F14" t="s">
        <v>513</v>
      </c>
      <c r="G14" t="s">
        <v>585</v>
      </c>
      <c r="H14" t="s">
        <v>631</v>
      </c>
    </row>
    <row r="15" spans="1:15" x14ac:dyDescent="0.2">
      <c r="A15" t="s">
        <v>41</v>
      </c>
      <c r="B15" t="s">
        <v>133</v>
      </c>
      <c r="C15" t="s">
        <v>241</v>
      </c>
      <c r="D15" t="s">
        <v>348</v>
      </c>
      <c r="E15" t="s">
        <v>424</v>
      </c>
      <c r="F15" t="s">
        <v>514</v>
      </c>
      <c r="G15" t="s">
        <v>586</v>
      </c>
      <c r="H15" t="s">
        <v>632</v>
      </c>
    </row>
    <row r="16" spans="1:15" x14ac:dyDescent="0.2">
      <c r="A16" t="s">
        <v>42</v>
      </c>
      <c r="B16" t="s">
        <v>134</v>
      </c>
      <c r="C16" t="s">
        <v>242</v>
      </c>
      <c r="D16" t="s">
        <v>349</v>
      </c>
      <c r="E16" t="s">
        <v>425</v>
      </c>
      <c r="F16" t="s">
        <v>515</v>
      </c>
      <c r="G16" t="s">
        <v>587</v>
      </c>
      <c r="H16" t="s">
        <v>633</v>
      </c>
    </row>
    <row r="17" spans="1:8" x14ac:dyDescent="0.2">
      <c r="A17" t="s">
        <v>43</v>
      </c>
      <c r="B17" t="s">
        <v>135</v>
      </c>
      <c r="C17" t="s">
        <v>243</v>
      </c>
      <c r="D17" t="s">
        <v>350</v>
      </c>
      <c r="E17" t="s">
        <v>426</v>
      </c>
      <c r="F17" t="s">
        <v>516</v>
      </c>
      <c r="G17" t="s">
        <v>588</v>
      </c>
      <c r="H17" t="s">
        <v>634</v>
      </c>
    </row>
    <row r="18" spans="1:8" x14ac:dyDescent="0.2">
      <c r="A18" t="s">
        <v>44</v>
      </c>
      <c r="B18" t="s">
        <v>136</v>
      </c>
      <c r="C18" t="s">
        <v>244</v>
      </c>
      <c r="D18" t="s">
        <v>351</v>
      </c>
      <c r="E18" t="s">
        <v>427</v>
      </c>
      <c r="F18" t="s">
        <v>517</v>
      </c>
      <c r="G18" t="s">
        <v>699</v>
      </c>
      <c r="H18" t="s">
        <v>635</v>
      </c>
    </row>
    <row r="19" spans="1:8" x14ac:dyDescent="0.2">
      <c r="A19" t="s">
        <v>45</v>
      </c>
      <c r="B19" t="s">
        <v>137</v>
      </c>
      <c r="C19" t="s">
        <v>245</v>
      </c>
      <c r="D19" t="s">
        <v>352</v>
      </c>
      <c r="E19" t="s">
        <v>428</v>
      </c>
      <c r="F19" t="s">
        <v>518</v>
      </c>
      <c r="G19" t="s">
        <v>589</v>
      </c>
      <c r="H19" t="s">
        <v>636</v>
      </c>
    </row>
    <row r="20" spans="1:8" x14ac:dyDescent="0.2">
      <c r="A20" t="s">
        <v>46</v>
      </c>
      <c r="B20" t="s">
        <v>138</v>
      </c>
      <c r="C20" t="s">
        <v>246</v>
      </c>
      <c r="D20" t="s">
        <v>353</v>
      </c>
      <c r="E20" t="s">
        <v>429</v>
      </c>
      <c r="F20" t="s">
        <v>519</v>
      </c>
      <c r="G20" t="s">
        <v>590</v>
      </c>
      <c r="H20" t="s">
        <v>637</v>
      </c>
    </row>
    <row r="21" spans="1:8" x14ac:dyDescent="0.2">
      <c r="A21" t="s">
        <v>47</v>
      </c>
      <c r="B21" t="s">
        <v>139</v>
      </c>
      <c r="C21" t="s">
        <v>247</v>
      </c>
      <c r="D21" t="s">
        <v>354</v>
      </c>
      <c r="E21" t="s">
        <v>430</v>
      </c>
      <c r="F21" t="s">
        <v>520</v>
      </c>
      <c r="G21" t="s">
        <v>591</v>
      </c>
      <c r="H21" t="s">
        <v>684</v>
      </c>
    </row>
    <row r="22" spans="1:8" x14ac:dyDescent="0.2">
      <c r="A22" t="s">
        <v>48</v>
      </c>
      <c r="B22" t="s">
        <v>140</v>
      </c>
      <c r="C22" t="s">
        <v>248</v>
      </c>
      <c r="D22" t="s">
        <v>355</v>
      </c>
      <c r="E22" t="s">
        <v>431</v>
      </c>
      <c r="F22" t="s">
        <v>521</v>
      </c>
      <c r="G22" t="s">
        <v>592</v>
      </c>
      <c r="H22" t="s">
        <v>680</v>
      </c>
    </row>
    <row r="23" spans="1:8" x14ac:dyDescent="0.2">
      <c r="A23" t="s">
        <v>49</v>
      </c>
      <c r="B23" t="s">
        <v>141</v>
      </c>
      <c r="C23" t="s">
        <v>249</v>
      </c>
      <c r="D23" t="s">
        <v>356</v>
      </c>
      <c r="E23" t="s">
        <v>432</v>
      </c>
      <c r="F23" t="s">
        <v>522</v>
      </c>
      <c r="G23" t="s">
        <v>593</v>
      </c>
      <c r="H23" t="s">
        <v>638</v>
      </c>
    </row>
    <row r="24" spans="1:8" x14ac:dyDescent="0.2">
      <c r="A24" t="s">
        <v>50</v>
      </c>
      <c r="B24" t="s">
        <v>142</v>
      </c>
      <c r="C24" t="s">
        <v>250</v>
      </c>
      <c r="D24" t="s">
        <v>357</v>
      </c>
      <c r="E24" t="s">
        <v>433</v>
      </c>
      <c r="F24" t="s">
        <v>523</v>
      </c>
      <c r="G24" t="s">
        <v>594</v>
      </c>
      <c r="H24" t="s">
        <v>639</v>
      </c>
    </row>
    <row r="25" spans="1:8" x14ac:dyDescent="0.2">
      <c r="A25" t="s">
        <v>51</v>
      </c>
      <c r="B25" t="s">
        <v>143</v>
      </c>
      <c r="C25" t="s">
        <v>251</v>
      </c>
      <c r="D25" t="s">
        <v>358</v>
      </c>
      <c r="E25" t="s">
        <v>434</v>
      </c>
      <c r="F25" t="s">
        <v>524</v>
      </c>
      <c r="G25" t="s">
        <v>595</v>
      </c>
      <c r="H25" t="s">
        <v>640</v>
      </c>
    </row>
    <row r="26" spans="1:8" x14ac:dyDescent="0.2">
      <c r="A26" t="s">
        <v>52</v>
      </c>
      <c r="B26" t="s">
        <v>146</v>
      </c>
      <c r="C26" t="s">
        <v>252</v>
      </c>
      <c r="D26" t="s">
        <v>359</v>
      </c>
      <c r="E26" t="s">
        <v>435</v>
      </c>
      <c r="F26" t="s">
        <v>525</v>
      </c>
      <c r="G26" t="s">
        <v>596</v>
      </c>
      <c r="H26" t="s">
        <v>641</v>
      </c>
    </row>
    <row r="27" spans="1:8" x14ac:dyDescent="0.2">
      <c r="A27" t="s">
        <v>53</v>
      </c>
      <c r="B27" t="s">
        <v>144</v>
      </c>
      <c r="C27" t="s">
        <v>253</v>
      </c>
      <c r="D27" t="s">
        <v>360</v>
      </c>
      <c r="E27" t="s">
        <v>436</v>
      </c>
      <c r="F27" t="s">
        <v>526</v>
      </c>
      <c r="G27" t="s">
        <v>597</v>
      </c>
      <c r="H27" t="s">
        <v>642</v>
      </c>
    </row>
    <row r="28" spans="1:8" x14ac:dyDescent="0.2">
      <c r="A28" t="s">
        <v>54</v>
      </c>
      <c r="B28" t="s">
        <v>145</v>
      </c>
      <c r="C28" t="s">
        <v>254</v>
      </c>
      <c r="D28" t="s">
        <v>361</v>
      </c>
      <c r="E28" t="s">
        <v>437</v>
      </c>
      <c r="F28" t="s">
        <v>527</v>
      </c>
      <c r="G28" t="s">
        <v>598</v>
      </c>
      <c r="H28" t="s">
        <v>643</v>
      </c>
    </row>
    <row r="29" spans="1:8" x14ac:dyDescent="0.2">
      <c r="A29" t="s">
        <v>55</v>
      </c>
      <c r="B29" t="s">
        <v>147</v>
      </c>
      <c r="C29" t="s">
        <v>255</v>
      </c>
      <c r="D29" t="s">
        <v>362</v>
      </c>
      <c r="E29" t="s">
        <v>438</v>
      </c>
      <c r="F29" t="s">
        <v>528</v>
      </c>
      <c r="G29" t="s">
        <v>599</v>
      </c>
      <c r="H29" t="s">
        <v>644</v>
      </c>
    </row>
    <row r="30" spans="1:8" x14ac:dyDescent="0.2">
      <c r="A30" t="s">
        <v>56</v>
      </c>
      <c r="B30" t="s">
        <v>148</v>
      </c>
      <c r="C30" t="s">
        <v>256</v>
      </c>
      <c r="D30" t="s">
        <v>363</v>
      </c>
      <c r="E30" t="s">
        <v>439</v>
      </c>
      <c r="F30" t="s">
        <v>529</v>
      </c>
      <c r="G30" t="s">
        <v>600</v>
      </c>
      <c r="H30" t="s">
        <v>645</v>
      </c>
    </row>
    <row r="31" spans="1:8" x14ac:dyDescent="0.2">
      <c r="A31" t="s">
        <v>57</v>
      </c>
      <c r="B31" t="s">
        <v>149</v>
      </c>
      <c r="C31" t="s">
        <v>257</v>
      </c>
      <c r="D31" t="s">
        <v>364</v>
      </c>
      <c r="E31" t="s">
        <v>440</v>
      </c>
      <c r="F31" t="s">
        <v>530</v>
      </c>
      <c r="G31" t="s">
        <v>601</v>
      </c>
      <c r="H31" t="s">
        <v>701</v>
      </c>
    </row>
    <row r="32" spans="1:8" x14ac:dyDescent="0.2">
      <c r="A32" t="s">
        <v>58</v>
      </c>
      <c r="B32" t="s">
        <v>150</v>
      </c>
      <c r="C32" t="s">
        <v>258</v>
      </c>
      <c r="D32" t="s">
        <v>365</v>
      </c>
      <c r="E32" t="s">
        <v>441</v>
      </c>
      <c r="F32" t="s">
        <v>531</v>
      </c>
      <c r="G32" t="s">
        <v>602</v>
      </c>
      <c r="H32" t="s">
        <v>646</v>
      </c>
    </row>
    <row r="33" spans="1:10" x14ac:dyDescent="0.2">
      <c r="A33" t="s">
        <v>59</v>
      </c>
      <c r="B33" t="s">
        <v>151</v>
      </c>
      <c r="C33" t="s">
        <v>259</v>
      </c>
      <c r="D33" t="s">
        <v>366</v>
      </c>
      <c r="E33" t="s">
        <v>442</v>
      </c>
      <c r="F33" t="s">
        <v>532</v>
      </c>
      <c r="G33" t="s">
        <v>603</v>
      </c>
      <c r="H33" t="s">
        <v>647</v>
      </c>
    </row>
    <row r="34" spans="1:10" x14ac:dyDescent="0.2">
      <c r="A34" t="s">
        <v>60</v>
      </c>
      <c r="B34" t="s">
        <v>152</v>
      </c>
      <c r="C34" t="s">
        <v>260</v>
      </c>
      <c r="D34" t="s">
        <v>367</v>
      </c>
      <c r="E34" t="s">
        <v>443</v>
      </c>
      <c r="F34" t="s">
        <v>533</v>
      </c>
      <c r="G34" t="s">
        <v>604</v>
      </c>
      <c r="H34" t="s">
        <v>648</v>
      </c>
    </row>
    <row r="35" spans="1:10" x14ac:dyDescent="0.2">
      <c r="A35" t="s">
        <v>61</v>
      </c>
      <c r="B35" t="s">
        <v>153</v>
      </c>
      <c r="C35" t="s">
        <v>261</v>
      </c>
      <c r="D35" t="s">
        <v>368</v>
      </c>
      <c r="E35" t="s">
        <v>444</v>
      </c>
      <c r="F35" t="s">
        <v>534</v>
      </c>
      <c r="G35" t="s">
        <v>605</v>
      </c>
      <c r="H35" t="s">
        <v>649</v>
      </c>
    </row>
    <row r="36" spans="1:10" x14ac:dyDescent="0.2">
      <c r="A36" t="s">
        <v>62</v>
      </c>
      <c r="B36" t="s">
        <v>154</v>
      </c>
      <c r="C36" t="s">
        <v>262</v>
      </c>
      <c r="D36" t="s">
        <v>369</v>
      </c>
      <c r="E36" t="s">
        <v>445</v>
      </c>
      <c r="F36" t="s">
        <v>535</v>
      </c>
      <c r="G36" t="s">
        <v>606</v>
      </c>
      <c r="H36" t="s">
        <v>650</v>
      </c>
      <c r="J36" s="30"/>
    </row>
    <row r="37" spans="1:10" x14ac:dyDescent="0.2">
      <c r="A37" t="s">
        <v>63</v>
      </c>
      <c r="B37" t="s">
        <v>155</v>
      </c>
      <c r="C37" t="s">
        <v>263</v>
      </c>
      <c r="D37" t="s">
        <v>370</v>
      </c>
      <c r="E37" t="s">
        <v>446</v>
      </c>
      <c r="F37" t="s">
        <v>536</v>
      </c>
      <c r="G37" t="s">
        <v>607</v>
      </c>
      <c r="H37" t="s">
        <v>651</v>
      </c>
    </row>
    <row r="38" spans="1:10" x14ac:dyDescent="0.2">
      <c r="A38" t="s">
        <v>64</v>
      </c>
      <c r="B38" t="s">
        <v>156</v>
      </c>
      <c r="C38" t="s">
        <v>264</v>
      </c>
      <c r="D38" t="s">
        <v>371</v>
      </c>
      <c r="E38" t="s">
        <v>447</v>
      </c>
      <c r="F38" t="s">
        <v>537</v>
      </c>
      <c r="G38" t="s">
        <v>608</v>
      </c>
      <c r="H38" t="s">
        <v>652</v>
      </c>
    </row>
    <row r="39" spans="1:10" x14ac:dyDescent="0.2">
      <c r="A39" t="s">
        <v>65</v>
      </c>
      <c r="B39" t="s">
        <v>157</v>
      </c>
      <c r="C39" t="s">
        <v>265</v>
      </c>
      <c r="D39" t="s">
        <v>372</v>
      </c>
      <c r="E39" t="s">
        <v>448</v>
      </c>
      <c r="F39" t="s">
        <v>538</v>
      </c>
      <c r="G39" t="s">
        <v>609</v>
      </c>
      <c r="H39" t="s">
        <v>653</v>
      </c>
    </row>
    <row r="40" spans="1:10" x14ac:dyDescent="0.2">
      <c r="A40" t="s">
        <v>66</v>
      </c>
      <c r="B40" t="s">
        <v>158</v>
      </c>
      <c r="C40" t="s">
        <v>266</v>
      </c>
      <c r="D40" t="s">
        <v>373</v>
      </c>
      <c r="E40" t="s">
        <v>449</v>
      </c>
      <c r="F40" t="s">
        <v>539</v>
      </c>
      <c r="G40" t="s">
        <v>610</v>
      </c>
      <c r="H40" t="s">
        <v>654</v>
      </c>
    </row>
    <row r="41" spans="1:10" x14ac:dyDescent="0.2">
      <c r="A41" t="s">
        <v>67</v>
      </c>
      <c r="B41" t="s">
        <v>159</v>
      </c>
      <c r="C41" t="s">
        <v>267</v>
      </c>
      <c r="D41" t="s">
        <v>374</v>
      </c>
      <c r="E41" t="s">
        <v>450</v>
      </c>
      <c r="F41" t="s">
        <v>540</v>
      </c>
      <c r="G41" t="s">
        <v>611</v>
      </c>
      <c r="H41" t="s">
        <v>655</v>
      </c>
    </row>
    <row r="42" spans="1:10" x14ac:dyDescent="0.2">
      <c r="A42" t="s">
        <v>68</v>
      </c>
      <c r="B42" t="s">
        <v>160</v>
      </c>
      <c r="C42" t="s">
        <v>268</v>
      </c>
      <c r="D42" t="s">
        <v>375</v>
      </c>
      <c r="E42" t="s">
        <v>451</v>
      </c>
      <c r="F42" t="s">
        <v>541</v>
      </c>
      <c r="G42" t="s">
        <v>612</v>
      </c>
      <c r="H42" t="s">
        <v>656</v>
      </c>
    </row>
    <row r="43" spans="1:10" x14ac:dyDescent="0.2">
      <c r="A43" t="s">
        <v>69</v>
      </c>
      <c r="B43" t="s">
        <v>161</v>
      </c>
      <c r="C43" t="s">
        <v>269</v>
      </c>
      <c r="D43" t="s">
        <v>376</v>
      </c>
      <c r="E43" t="s">
        <v>452</v>
      </c>
      <c r="F43" t="s">
        <v>542</v>
      </c>
      <c r="G43" t="s">
        <v>613</v>
      </c>
      <c r="H43" t="s">
        <v>657</v>
      </c>
    </row>
    <row r="44" spans="1:10" x14ac:dyDescent="0.2">
      <c r="A44" t="s">
        <v>70</v>
      </c>
      <c r="B44" t="s">
        <v>162</v>
      </c>
      <c r="C44" t="s">
        <v>270</v>
      </c>
      <c r="D44" t="s">
        <v>377</v>
      </c>
      <c r="E44" t="s">
        <v>453</v>
      </c>
      <c r="F44" t="s">
        <v>543</v>
      </c>
      <c r="G44" t="s">
        <v>614</v>
      </c>
      <c r="H44" t="s">
        <v>658</v>
      </c>
    </row>
    <row r="45" spans="1:10" x14ac:dyDescent="0.2">
      <c r="A45" t="s">
        <v>71</v>
      </c>
      <c r="B45" t="s">
        <v>163</v>
      </c>
      <c r="C45" t="s">
        <v>271</v>
      </c>
      <c r="D45" t="s">
        <v>378</v>
      </c>
      <c r="E45" t="s">
        <v>454</v>
      </c>
      <c r="F45" t="s">
        <v>544</v>
      </c>
      <c r="G45" t="s">
        <v>615</v>
      </c>
      <c r="H45" t="s">
        <v>659</v>
      </c>
    </row>
    <row r="46" spans="1:10" x14ac:dyDescent="0.2">
      <c r="A46" t="s">
        <v>72</v>
      </c>
      <c r="B46" t="s">
        <v>164</v>
      </c>
      <c r="C46" t="s">
        <v>272</v>
      </c>
      <c r="D46" t="s">
        <v>379</v>
      </c>
      <c r="E46" t="s">
        <v>455</v>
      </c>
      <c r="F46" t="s">
        <v>545</v>
      </c>
      <c r="G46" t="s">
        <v>616</v>
      </c>
      <c r="H46" t="s">
        <v>660</v>
      </c>
    </row>
    <row r="47" spans="1:10" x14ac:dyDescent="0.2">
      <c r="A47" t="s">
        <v>73</v>
      </c>
      <c r="B47" t="s">
        <v>165</v>
      </c>
      <c r="C47" t="s">
        <v>273</v>
      </c>
      <c r="D47" t="s">
        <v>380</v>
      </c>
      <c r="E47" t="s">
        <v>456</v>
      </c>
      <c r="F47" t="s">
        <v>546</v>
      </c>
      <c r="G47" t="s">
        <v>617</v>
      </c>
      <c r="H47" t="s">
        <v>661</v>
      </c>
    </row>
    <row r="48" spans="1:10" x14ac:dyDescent="0.2">
      <c r="A48" t="s">
        <v>74</v>
      </c>
      <c r="B48" t="s">
        <v>166</v>
      </c>
      <c r="C48" t="s">
        <v>274</v>
      </c>
      <c r="D48" t="s">
        <v>381</v>
      </c>
      <c r="E48" t="s">
        <v>457</v>
      </c>
      <c r="F48" t="s">
        <v>547</v>
      </c>
      <c r="G48" t="s">
        <v>618</v>
      </c>
      <c r="H48" t="s">
        <v>662</v>
      </c>
    </row>
    <row r="49" spans="1:8" x14ac:dyDescent="0.2">
      <c r="A49" t="s">
        <v>75</v>
      </c>
      <c r="B49" t="s">
        <v>167</v>
      </c>
      <c r="C49" t="s">
        <v>275</v>
      </c>
      <c r="D49" t="s">
        <v>382</v>
      </c>
      <c r="E49" t="s">
        <v>458</v>
      </c>
      <c r="F49" t="s">
        <v>548</v>
      </c>
      <c r="H49" t="s">
        <v>663</v>
      </c>
    </row>
    <row r="50" spans="1:8" x14ac:dyDescent="0.2">
      <c r="A50" t="s">
        <v>76</v>
      </c>
      <c r="B50" t="s">
        <v>168</v>
      </c>
      <c r="C50" t="s">
        <v>276</v>
      </c>
      <c r="D50" t="s">
        <v>383</v>
      </c>
      <c r="E50" t="s">
        <v>459</v>
      </c>
      <c r="F50" t="s">
        <v>549</v>
      </c>
      <c r="H50" t="s">
        <v>664</v>
      </c>
    </row>
    <row r="51" spans="1:8" x14ac:dyDescent="0.2">
      <c r="A51" t="s">
        <v>77</v>
      </c>
      <c r="B51" t="s">
        <v>169</v>
      </c>
      <c r="C51" t="s">
        <v>277</v>
      </c>
      <c r="D51" t="s">
        <v>384</v>
      </c>
      <c r="E51" t="s">
        <v>460</v>
      </c>
      <c r="F51" t="s">
        <v>550</v>
      </c>
      <c r="H51" t="s">
        <v>665</v>
      </c>
    </row>
    <row r="52" spans="1:8" x14ac:dyDescent="0.2">
      <c r="A52" t="s">
        <v>78</v>
      </c>
      <c r="B52" t="s">
        <v>170</v>
      </c>
      <c r="C52" t="s">
        <v>278</v>
      </c>
      <c r="D52" t="s">
        <v>385</v>
      </c>
      <c r="E52" t="s">
        <v>461</v>
      </c>
      <c r="F52" t="s">
        <v>551</v>
      </c>
      <c r="H52" t="s">
        <v>666</v>
      </c>
    </row>
    <row r="53" spans="1:8" x14ac:dyDescent="0.2">
      <c r="A53" t="s">
        <v>79</v>
      </c>
      <c r="B53" t="s">
        <v>171</v>
      </c>
      <c r="C53" t="s">
        <v>279</v>
      </c>
      <c r="D53" t="s">
        <v>386</v>
      </c>
      <c r="E53" t="s">
        <v>462</v>
      </c>
      <c r="F53" t="s">
        <v>552</v>
      </c>
      <c r="H53" t="s">
        <v>667</v>
      </c>
    </row>
    <row r="54" spans="1:8" x14ac:dyDescent="0.2">
      <c r="A54" t="s">
        <v>80</v>
      </c>
      <c r="B54" t="s">
        <v>172</v>
      </c>
      <c r="C54" t="s">
        <v>280</v>
      </c>
      <c r="D54" t="s">
        <v>387</v>
      </c>
      <c r="E54" t="s">
        <v>463</v>
      </c>
      <c r="F54" t="s">
        <v>553</v>
      </c>
      <c r="H54" t="s">
        <v>668</v>
      </c>
    </row>
    <row r="55" spans="1:8" x14ac:dyDescent="0.2">
      <c r="A55" t="s">
        <v>81</v>
      </c>
      <c r="B55" t="s">
        <v>173</v>
      </c>
      <c r="C55" t="s">
        <v>281</v>
      </c>
      <c r="D55" t="s">
        <v>688</v>
      </c>
      <c r="E55" t="s">
        <v>464</v>
      </c>
      <c r="F55" t="s">
        <v>554</v>
      </c>
      <c r="H55" t="s">
        <v>669</v>
      </c>
    </row>
    <row r="56" spans="1:8" x14ac:dyDescent="0.2">
      <c r="A56" t="s">
        <v>82</v>
      </c>
      <c r="B56" t="s">
        <v>174</v>
      </c>
      <c r="C56" t="s">
        <v>282</v>
      </c>
      <c r="D56" t="s">
        <v>689</v>
      </c>
      <c r="E56" t="s">
        <v>465</v>
      </c>
      <c r="F56" t="s">
        <v>555</v>
      </c>
      <c r="H56" t="s">
        <v>670</v>
      </c>
    </row>
    <row r="57" spans="1:8" x14ac:dyDescent="0.2">
      <c r="A57" t="s">
        <v>83</v>
      </c>
      <c r="B57" t="s">
        <v>175</v>
      </c>
      <c r="C57" t="s">
        <v>283</v>
      </c>
      <c r="D57" t="s">
        <v>388</v>
      </c>
      <c r="E57" t="s">
        <v>466</v>
      </c>
      <c r="F57" t="s">
        <v>556</v>
      </c>
    </row>
    <row r="58" spans="1:8" x14ac:dyDescent="0.2">
      <c r="A58" t="s">
        <v>84</v>
      </c>
      <c r="B58" t="s">
        <v>176</v>
      </c>
      <c r="C58" t="s">
        <v>284</v>
      </c>
      <c r="D58" t="s">
        <v>389</v>
      </c>
      <c r="E58" t="s">
        <v>467</v>
      </c>
      <c r="F58" t="s">
        <v>557</v>
      </c>
    </row>
    <row r="59" spans="1:8" x14ac:dyDescent="0.2">
      <c r="A59" t="s">
        <v>85</v>
      </c>
      <c r="B59" t="s">
        <v>177</v>
      </c>
      <c r="C59" t="s">
        <v>285</v>
      </c>
      <c r="D59" t="s">
        <v>390</v>
      </c>
      <c r="E59" t="s">
        <v>468</v>
      </c>
      <c r="F59" t="s">
        <v>558</v>
      </c>
    </row>
    <row r="60" spans="1:8" x14ac:dyDescent="0.2">
      <c r="A60" t="s">
        <v>86</v>
      </c>
      <c r="B60" t="s">
        <v>178</v>
      </c>
      <c r="C60" t="s">
        <v>286</v>
      </c>
      <c r="D60" t="s">
        <v>391</v>
      </c>
      <c r="E60" t="s">
        <v>469</v>
      </c>
      <c r="F60" t="s">
        <v>559</v>
      </c>
    </row>
    <row r="61" spans="1:8" x14ac:dyDescent="0.2">
      <c r="A61" t="s">
        <v>87</v>
      </c>
      <c r="B61" t="s">
        <v>179</v>
      </c>
      <c r="C61" t="s">
        <v>287</v>
      </c>
      <c r="D61" t="s">
        <v>392</v>
      </c>
      <c r="E61" t="s">
        <v>470</v>
      </c>
      <c r="F61" t="s">
        <v>560</v>
      </c>
    </row>
    <row r="62" spans="1:8" x14ac:dyDescent="0.2">
      <c r="A62" t="s">
        <v>88</v>
      </c>
      <c r="B62" t="s">
        <v>180</v>
      </c>
      <c r="C62" t="s">
        <v>288</v>
      </c>
      <c r="D62" t="s">
        <v>393</v>
      </c>
      <c r="E62" t="s">
        <v>471</v>
      </c>
      <c r="F62" t="s">
        <v>561</v>
      </c>
    </row>
    <row r="63" spans="1:8" x14ac:dyDescent="0.2">
      <c r="A63" t="s">
        <v>89</v>
      </c>
      <c r="B63" t="s">
        <v>181</v>
      </c>
      <c r="C63" t="s">
        <v>289</v>
      </c>
      <c r="D63" t="s">
        <v>394</v>
      </c>
      <c r="E63" t="s">
        <v>472</v>
      </c>
      <c r="F63" t="s">
        <v>562</v>
      </c>
    </row>
    <row r="64" spans="1:8" x14ac:dyDescent="0.2">
      <c r="A64" t="s">
        <v>90</v>
      </c>
      <c r="B64" t="s">
        <v>182</v>
      </c>
      <c r="C64" t="s">
        <v>290</v>
      </c>
      <c r="D64" t="s">
        <v>395</v>
      </c>
      <c r="E64" t="s">
        <v>473</v>
      </c>
      <c r="F64" t="s">
        <v>563</v>
      </c>
    </row>
    <row r="65" spans="1:6" x14ac:dyDescent="0.2">
      <c r="A65" t="s">
        <v>91</v>
      </c>
      <c r="B65" t="s">
        <v>183</v>
      </c>
      <c r="C65" t="s">
        <v>291</v>
      </c>
      <c r="D65" t="s">
        <v>396</v>
      </c>
      <c r="E65" t="s">
        <v>474</v>
      </c>
      <c r="F65" t="s">
        <v>564</v>
      </c>
    </row>
    <row r="66" spans="1:6" x14ac:dyDescent="0.2">
      <c r="A66" t="s">
        <v>92</v>
      </c>
      <c r="B66" t="s">
        <v>184</v>
      </c>
      <c r="C66" t="s">
        <v>292</v>
      </c>
      <c r="D66" t="s">
        <v>397</v>
      </c>
      <c r="E66" t="s">
        <v>475</v>
      </c>
      <c r="F66" t="s">
        <v>565</v>
      </c>
    </row>
    <row r="67" spans="1:6" x14ac:dyDescent="0.2">
      <c r="A67" t="s">
        <v>93</v>
      </c>
      <c r="B67" t="s">
        <v>185</v>
      </c>
      <c r="C67" t="s">
        <v>293</v>
      </c>
      <c r="D67" t="s">
        <v>398</v>
      </c>
      <c r="E67" t="s">
        <v>476</v>
      </c>
      <c r="F67" t="s">
        <v>566</v>
      </c>
    </row>
    <row r="68" spans="1:6" x14ac:dyDescent="0.2">
      <c r="A68" t="s">
        <v>681</v>
      </c>
      <c r="B68" t="s">
        <v>186</v>
      </c>
      <c r="C68" t="s">
        <v>294</v>
      </c>
      <c r="D68" t="s">
        <v>399</v>
      </c>
      <c r="E68" t="s">
        <v>477</v>
      </c>
      <c r="F68" t="s">
        <v>567</v>
      </c>
    </row>
    <row r="69" spans="1:6" x14ac:dyDescent="0.2">
      <c r="A69" t="s">
        <v>94</v>
      </c>
      <c r="B69" t="s">
        <v>187</v>
      </c>
      <c r="C69" t="s">
        <v>295</v>
      </c>
      <c r="D69" t="s">
        <v>400</v>
      </c>
      <c r="E69" t="s">
        <v>478</v>
      </c>
      <c r="F69" t="s">
        <v>568</v>
      </c>
    </row>
    <row r="70" spans="1:6" x14ac:dyDescent="0.2">
      <c r="A70" t="s">
        <v>95</v>
      </c>
      <c r="B70" t="s">
        <v>188</v>
      </c>
      <c r="C70" t="s">
        <v>296</v>
      </c>
      <c r="D70" t="s">
        <v>401</v>
      </c>
      <c r="E70" t="s">
        <v>479</v>
      </c>
      <c r="F70" t="s">
        <v>569</v>
      </c>
    </row>
    <row r="71" spans="1:6" x14ac:dyDescent="0.2">
      <c r="A71" t="s">
        <v>96</v>
      </c>
      <c r="B71" t="s">
        <v>189</v>
      </c>
      <c r="C71" t="s">
        <v>297</v>
      </c>
      <c r="D71" t="s">
        <v>683</v>
      </c>
      <c r="E71" t="s">
        <v>480</v>
      </c>
      <c r="F71" t="s">
        <v>570</v>
      </c>
    </row>
    <row r="72" spans="1:6" x14ac:dyDescent="0.2">
      <c r="A72" t="s">
        <v>97</v>
      </c>
      <c r="B72" t="s">
        <v>190</v>
      </c>
      <c r="C72" t="s">
        <v>298</v>
      </c>
      <c r="D72" t="s">
        <v>402</v>
      </c>
      <c r="E72" t="s">
        <v>481</v>
      </c>
      <c r="F72" t="s">
        <v>571</v>
      </c>
    </row>
    <row r="73" spans="1:6" x14ac:dyDescent="0.2">
      <c r="A73" t="s">
        <v>98</v>
      </c>
      <c r="B73" t="s">
        <v>191</v>
      </c>
      <c r="C73" t="s">
        <v>299</v>
      </c>
      <c r="D73" t="s">
        <v>403</v>
      </c>
      <c r="E73" t="s">
        <v>482</v>
      </c>
      <c r="F73" t="s">
        <v>572</v>
      </c>
    </row>
    <row r="74" spans="1:6" x14ac:dyDescent="0.2">
      <c r="A74" t="s">
        <v>99</v>
      </c>
      <c r="B74" t="s">
        <v>192</v>
      </c>
      <c r="C74" t="s">
        <v>300</v>
      </c>
      <c r="D74" t="s">
        <v>404</v>
      </c>
      <c r="E74" t="s">
        <v>483</v>
      </c>
      <c r="F74" t="s">
        <v>573</v>
      </c>
    </row>
    <row r="75" spans="1:6" x14ac:dyDescent="0.2">
      <c r="A75" t="s">
        <v>100</v>
      </c>
      <c r="B75" t="s">
        <v>193</v>
      </c>
      <c r="C75" t="s">
        <v>301</v>
      </c>
      <c r="D75" t="s">
        <v>405</v>
      </c>
      <c r="E75" t="s">
        <v>484</v>
      </c>
      <c r="F75" t="s">
        <v>574</v>
      </c>
    </row>
    <row r="76" spans="1:6" x14ac:dyDescent="0.2">
      <c r="A76" t="s">
        <v>101</v>
      </c>
      <c r="B76" t="s">
        <v>194</v>
      </c>
      <c r="C76" t="s">
        <v>302</v>
      </c>
      <c r="D76" t="s">
        <v>690</v>
      </c>
      <c r="E76" t="s">
        <v>485</v>
      </c>
    </row>
    <row r="77" spans="1:6" x14ac:dyDescent="0.2">
      <c r="A77" t="s">
        <v>102</v>
      </c>
      <c r="B77" t="s">
        <v>195</v>
      </c>
      <c r="C77" t="s">
        <v>303</v>
      </c>
      <c r="D77" t="s">
        <v>406</v>
      </c>
      <c r="E77" t="s">
        <v>486</v>
      </c>
    </row>
    <row r="78" spans="1:6" x14ac:dyDescent="0.2">
      <c r="A78" t="s">
        <v>103</v>
      </c>
      <c r="B78" t="s">
        <v>196</v>
      </c>
      <c r="C78" t="s">
        <v>304</v>
      </c>
      <c r="D78" t="s">
        <v>407</v>
      </c>
      <c r="E78" t="s">
        <v>487</v>
      </c>
    </row>
    <row r="79" spans="1:6" x14ac:dyDescent="0.2">
      <c r="A79" t="s">
        <v>104</v>
      </c>
      <c r="B79" t="s">
        <v>197</v>
      </c>
      <c r="C79" t="s">
        <v>305</v>
      </c>
      <c r="D79" t="s">
        <v>408</v>
      </c>
      <c r="E79" t="s">
        <v>488</v>
      </c>
    </row>
    <row r="80" spans="1:6" x14ac:dyDescent="0.2">
      <c r="A80" t="s">
        <v>105</v>
      </c>
      <c r="B80" t="s">
        <v>198</v>
      </c>
      <c r="C80" t="s">
        <v>306</v>
      </c>
      <c r="D80" t="s">
        <v>409</v>
      </c>
      <c r="E80" t="s">
        <v>489</v>
      </c>
    </row>
    <row r="81" spans="1:5" x14ac:dyDescent="0.2">
      <c r="A81" t="s">
        <v>106</v>
      </c>
      <c r="B81" t="s">
        <v>199</v>
      </c>
      <c r="C81" t="s">
        <v>307</v>
      </c>
      <c r="E81" t="s">
        <v>490</v>
      </c>
    </row>
    <row r="82" spans="1:5" x14ac:dyDescent="0.2">
      <c r="A82" t="s">
        <v>107</v>
      </c>
      <c r="B82" t="s">
        <v>200</v>
      </c>
      <c r="C82" t="s">
        <v>308</v>
      </c>
      <c r="E82" t="s">
        <v>695</v>
      </c>
    </row>
    <row r="83" spans="1:5" x14ac:dyDescent="0.2">
      <c r="A83" t="s">
        <v>108</v>
      </c>
      <c r="B83" t="s">
        <v>201</v>
      </c>
      <c r="C83" t="s">
        <v>309</v>
      </c>
      <c r="E83" t="s">
        <v>696</v>
      </c>
    </row>
    <row r="84" spans="1:5" x14ac:dyDescent="0.2">
      <c r="A84" t="s">
        <v>109</v>
      </c>
      <c r="B84" t="s">
        <v>202</v>
      </c>
      <c r="C84" t="s">
        <v>310</v>
      </c>
      <c r="E84" t="s">
        <v>491</v>
      </c>
    </row>
    <row r="85" spans="1:5" x14ac:dyDescent="0.2">
      <c r="A85" t="s">
        <v>110</v>
      </c>
      <c r="B85" t="s">
        <v>203</v>
      </c>
      <c r="C85" t="s">
        <v>311</v>
      </c>
      <c r="E85" t="s">
        <v>492</v>
      </c>
    </row>
    <row r="86" spans="1:5" x14ac:dyDescent="0.2">
      <c r="A86" t="s">
        <v>111</v>
      </c>
      <c r="B86" t="s">
        <v>204</v>
      </c>
      <c r="C86" t="s">
        <v>312</v>
      </c>
      <c r="E86" t="s">
        <v>493</v>
      </c>
    </row>
    <row r="87" spans="1:5" x14ac:dyDescent="0.2">
      <c r="A87" t="s">
        <v>112</v>
      </c>
      <c r="B87" t="s">
        <v>205</v>
      </c>
      <c r="C87" t="s">
        <v>313</v>
      </c>
      <c r="E87" t="s">
        <v>494</v>
      </c>
    </row>
    <row r="88" spans="1:5" x14ac:dyDescent="0.2">
      <c r="A88" t="s">
        <v>113</v>
      </c>
      <c r="B88" t="s">
        <v>206</v>
      </c>
      <c r="C88" t="s">
        <v>314</v>
      </c>
      <c r="E88" t="s">
        <v>495</v>
      </c>
    </row>
    <row r="89" spans="1:5" x14ac:dyDescent="0.2">
      <c r="A89" t="s">
        <v>114</v>
      </c>
      <c r="B89" t="s">
        <v>207</v>
      </c>
      <c r="C89" t="s">
        <v>315</v>
      </c>
      <c r="E89" t="s">
        <v>496</v>
      </c>
    </row>
    <row r="90" spans="1:5" x14ac:dyDescent="0.2">
      <c r="A90" t="s">
        <v>115</v>
      </c>
      <c r="B90" t="s">
        <v>208</v>
      </c>
      <c r="C90" t="s">
        <v>316</v>
      </c>
      <c r="E90" t="s">
        <v>497</v>
      </c>
    </row>
    <row r="91" spans="1:5" x14ac:dyDescent="0.2">
      <c r="A91" t="s">
        <v>116</v>
      </c>
      <c r="B91" t="s">
        <v>209</v>
      </c>
      <c r="C91" t="s">
        <v>317</v>
      </c>
      <c r="E91" t="s">
        <v>498</v>
      </c>
    </row>
    <row r="92" spans="1:5" x14ac:dyDescent="0.2">
      <c r="A92" t="s">
        <v>117</v>
      </c>
      <c r="B92" t="s">
        <v>210</v>
      </c>
      <c r="C92" t="s">
        <v>687</v>
      </c>
      <c r="E92" t="s">
        <v>499</v>
      </c>
    </row>
    <row r="93" spans="1:5" x14ac:dyDescent="0.2">
      <c r="A93" t="s">
        <v>118</v>
      </c>
      <c r="B93" t="s">
        <v>211</v>
      </c>
      <c r="C93" t="s">
        <v>318</v>
      </c>
    </row>
    <row r="94" spans="1:5" x14ac:dyDescent="0.2">
      <c r="A94" t="s">
        <v>119</v>
      </c>
      <c r="B94" t="s">
        <v>212</v>
      </c>
      <c r="C94" t="s">
        <v>319</v>
      </c>
    </row>
    <row r="95" spans="1:5" x14ac:dyDescent="0.2">
      <c r="A95" t="s">
        <v>120</v>
      </c>
      <c r="B95" t="s">
        <v>213</v>
      </c>
      <c r="C95" t="s">
        <v>320</v>
      </c>
    </row>
    <row r="96" spans="1:5" x14ac:dyDescent="0.2">
      <c r="B96" t="s">
        <v>214</v>
      </c>
      <c r="C96" t="s">
        <v>682</v>
      </c>
    </row>
    <row r="97" spans="2:3" x14ac:dyDescent="0.2">
      <c r="B97" t="s">
        <v>215</v>
      </c>
      <c r="C97" t="s">
        <v>321</v>
      </c>
    </row>
    <row r="98" spans="2:3" x14ac:dyDescent="0.2">
      <c r="B98" t="s">
        <v>216</v>
      </c>
      <c r="C98" t="s">
        <v>322</v>
      </c>
    </row>
    <row r="99" spans="2:3" x14ac:dyDescent="0.2">
      <c r="B99" t="s">
        <v>217</v>
      </c>
      <c r="C99" t="s">
        <v>323</v>
      </c>
    </row>
    <row r="100" spans="2:3" x14ac:dyDescent="0.2">
      <c r="B100" t="s">
        <v>218</v>
      </c>
      <c r="C100" t="s">
        <v>324</v>
      </c>
    </row>
    <row r="101" spans="2:3" x14ac:dyDescent="0.2">
      <c r="B101" t="s">
        <v>219</v>
      </c>
      <c r="C101" t="s">
        <v>325</v>
      </c>
    </row>
    <row r="102" spans="2:3" x14ac:dyDescent="0.2">
      <c r="B102" t="s">
        <v>220</v>
      </c>
      <c r="C102" t="s">
        <v>326</v>
      </c>
    </row>
    <row r="103" spans="2:3" x14ac:dyDescent="0.2">
      <c r="B103" t="s">
        <v>221</v>
      </c>
      <c r="C103" t="s">
        <v>327</v>
      </c>
    </row>
    <row r="104" spans="2:3" x14ac:dyDescent="0.2">
      <c r="B104" t="s">
        <v>222</v>
      </c>
      <c r="C104" t="s">
        <v>328</v>
      </c>
    </row>
    <row r="105" spans="2:3" x14ac:dyDescent="0.2">
      <c r="B105" t="s">
        <v>223</v>
      </c>
      <c r="C105" t="s">
        <v>329</v>
      </c>
    </row>
    <row r="106" spans="2:3" x14ac:dyDescent="0.2">
      <c r="B106" t="s">
        <v>224</v>
      </c>
      <c r="C106" t="s">
        <v>330</v>
      </c>
    </row>
    <row r="107" spans="2:3" x14ac:dyDescent="0.2">
      <c r="B107" t="s">
        <v>225</v>
      </c>
      <c r="C107" t="s">
        <v>331</v>
      </c>
    </row>
    <row r="108" spans="2:3" x14ac:dyDescent="0.2">
      <c r="B108" t="s">
        <v>226</v>
      </c>
      <c r="C108" t="s">
        <v>332</v>
      </c>
    </row>
    <row r="109" spans="2:3" x14ac:dyDescent="0.2">
      <c r="C109" t="s">
        <v>691</v>
      </c>
    </row>
    <row r="110" spans="2:3" x14ac:dyDescent="0.2">
      <c r="C110" t="s">
        <v>333</v>
      </c>
    </row>
    <row r="111" spans="2:3" x14ac:dyDescent="0.2">
      <c r="C111" t="s">
        <v>334</v>
      </c>
    </row>
    <row r="112" spans="2:3" x14ac:dyDescent="0.2">
      <c r="C112" t="s">
        <v>335</v>
      </c>
    </row>
    <row r="113" spans="3:3" x14ac:dyDescent="0.2">
      <c r="C113" t="s">
        <v>336</v>
      </c>
    </row>
  </sheetData>
  <conditionalFormatting sqref="AC1:AC1048576">
    <cfRule type="duplicateValues" dxfId="185" priority="2"/>
  </conditionalFormatting>
  <conditionalFormatting sqref="S1:S1048576">
    <cfRule type="duplicateValues" dxfId="184" priority="1"/>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1"/>
  </sheetPr>
  <dimension ref="A1:H30"/>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v>
      </c>
      <c r="C2" s="15">
        <f>IF(ISERROR(VALUE(TRIM(CLEAN(MID(C20,FIND("(",C20)+1,FIND("/",C20,1)-FIND("(",C20)-1))))),0,VALUE(TRIM(CLEAN(MID(C20,FIND("(",C20)+1,FIND("/",C20,1)-FIND("(",C20)-1)))))</f>
        <v>1</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4</v>
      </c>
      <c r="C4" s="16">
        <f>IF(ISERROR(VALUE(TRIM(CLEAN(MID(C23,FIND("(",C23)+1,FIND("/",C23,1)-FIND("(",C23)-1))))),0,VALUE(TRIM(CLEAN(MID(C23,FIND("(",C23)+1,FIND("/",C23,1)-FIND("(",C23)-1)))))</f>
        <v>4</v>
      </c>
      <c r="E4" s="29" t="s">
        <v>2</v>
      </c>
    </row>
    <row r="5" spans="1:5" ht="22.5" x14ac:dyDescent="0.2">
      <c r="A5" s="20" t="s">
        <v>17</v>
      </c>
      <c r="B5" s="21">
        <f>IF(ISERROR(VALUE(TRIM(CLEAN(MID(C24,FIND("/",C24)+1,FIND(")",C24,1)-FIND("/",C24)-1))))),0,VALUE(TRIM(CLEAN(MID(C24,FIND("/",C24)+1,FIND(")",C24,1)-FIND("/",C24)-1)))))</f>
        <v>2</v>
      </c>
      <c r="C5" s="16">
        <f>IF(ISERROR(VALUE(TRIM(CLEAN(MID(C24,FIND("(",C24)+1,FIND("/",C24,1)-FIND("(",C24)-1))))),0,VALUE(TRIM(CLEAN(MID(C24,FIND("(",C24)+1,FIND("/",C24,1)-FIND("(",C24)-1)))))</f>
        <v>2</v>
      </c>
    </row>
    <row r="6" spans="1:5" x14ac:dyDescent="0.2">
      <c r="A6" s="20"/>
      <c r="B6" s="21"/>
      <c r="C6" s="16"/>
    </row>
    <row r="7" spans="1:5" ht="13.5" thickBot="1" x14ac:dyDescent="0.25">
      <c r="A7" s="22" t="s">
        <v>13</v>
      </c>
      <c r="B7" s="23">
        <f>SUM(B2:B5)</f>
        <v>7</v>
      </c>
      <c r="C7" s="17">
        <f>SUM(C2:C5)</f>
        <v>7</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702</v>
      </c>
    </row>
    <row r="20" spans="1:8" x14ac:dyDescent="0.2">
      <c r="C20" s="5" t="s">
        <v>703</v>
      </c>
    </row>
    <row r="21" spans="1:8" x14ac:dyDescent="0.2">
      <c r="C21" s="5" t="s">
        <v>704</v>
      </c>
    </row>
    <row r="22" spans="1:8" x14ac:dyDescent="0.2">
      <c r="C22" s="5" t="s">
        <v>705</v>
      </c>
    </row>
    <row r="23" spans="1:8" x14ac:dyDescent="0.2">
      <c r="C23" s="5" t="s">
        <v>706</v>
      </c>
    </row>
    <row r="24" spans="1:8" x14ac:dyDescent="0.2">
      <c r="C24" s="5" t="s">
        <v>707</v>
      </c>
    </row>
    <row r="25" spans="1:8" x14ac:dyDescent="0.2">
      <c r="B25" s="5" t="s">
        <v>708</v>
      </c>
    </row>
    <row r="26" spans="1:8" x14ac:dyDescent="0.2">
      <c r="D26" s="5" t="s">
        <v>703</v>
      </c>
    </row>
    <row r="27" spans="1:8" x14ac:dyDescent="0.2">
      <c r="D27" s="5" t="s">
        <v>704</v>
      </c>
    </row>
    <row r="28" spans="1:8" x14ac:dyDescent="0.2">
      <c r="D28" s="5" t="s">
        <v>705</v>
      </c>
    </row>
    <row r="29" spans="1:8" x14ac:dyDescent="0.2">
      <c r="D29" s="5" t="s">
        <v>706</v>
      </c>
    </row>
    <row r="30" spans="1:8" x14ac:dyDescent="0.2">
      <c r="D30" s="5" t="s">
        <v>707</v>
      </c>
    </row>
  </sheetData>
  <autoFilter ref="A18:H18"/>
  <conditionalFormatting sqref="C17">
    <cfRule type="cellIs" dxfId="183" priority="1" stopIfTrue="1" operator="equal">
      <formula>$B$10</formula>
    </cfRule>
    <cfRule type="cellIs" dxfId="182"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11"/>
  </sheetPr>
  <dimension ref="A1:H30"/>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v>
      </c>
      <c r="C2" s="15">
        <f>IF(ISERROR(VALUE(TRIM(CLEAN(MID(C20,FIND("(",C20)+1,FIND("/",C20,1)-FIND("(",C20)-1))))),0,VALUE(TRIM(CLEAN(MID(C20,FIND("(",C20)+1,FIND("/",C20,1)-FIND("(",C20)-1)))))</f>
        <v>1</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0</v>
      </c>
      <c r="C4" s="16">
        <f>IF(ISERROR(VALUE(TRIM(CLEAN(MID(C23,FIND("(",C23)+1,FIND("/",C23,1)-FIND("(",C23)-1))))),0,VALUE(TRIM(CLEAN(MID(C23,FIND("(",C23)+1,FIND("/",C23,1)-FIND("(",C23)-1)))))</f>
        <v>0</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1</v>
      </c>
      <c r="C7" s="17">
        <f>SUM(C2:C5)</f>
        <v>1</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710</v>
      </c>
    </row>
    <row r="20" spans="1:8" x14ac:dyDescent="0.2">
      <c r="C20" s="5" t="s">
        <v>703</v>
      </c>
    </row>
    <row r="21" spans="1:8" x14ac:dyDescent="0.2">
      <c r="C21" s="5" t="s">
        <v>704</v>
      </c>
    </row>
    <row r="22" spans="1:8" x14ac:dyDescent="0.2">
      <c r="C22" s="5" t="s">
        <v>705</v>
      </c>
    </row>
    <row r="23" spans="1:8" x14ac:dyDescent="0.2">
      <c r="C23" s="5" t="s">
        <v>711</v>
      </c>
    </row>
    <row r="24" spans="1:8" x14ac:dyDescent="0.2">
      <c r="C24" s="5" t="s">
        <v>712</v>
      </c>
    </row>
    <row r="25" spans="1:8" x14ac:dyDescent="0.2">
      <c r="B25" s="5" t="s">
        <v>713</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sheetData>
  <autoFilter ref="A18:H18"/>
  <conditionalFormatting sqref="C17">
    <cfRule type="cellIs" dxfId="181" priority="1" stopIfTrue="1" operator="equal">
      <formula>$B$10</formula>
    </cfRule>
    <cfRule type="cellIs" dxfId="180"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11"/>
  </sheetPr>
  <dimension ref="A1:H30"/>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v>
      </c>
      <c r="C2" s="15">
        <f>IF(ISERROR(VALUE(TRIM(CLEAN(MID(C20,FIND("(",C20)+1,FIND("/",C20,1)-FIND("(",C20)-1))))),0,VALUE(TRIM(CLEAN(MID(C20,FIND("(",C20)+1,FIND("/",C20,1)-FIND("(",C20)-1)))))</f>
        <v>1</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4</v>
      </c>
      <c r="C4" s="16">
        <f>IF(ISERROR(VALUE(TRIM(CLEAN(MID(C23,FIND("(",C23)+1,FIND("/",C23,1)-FIND("(",C23)-1))))),0,VALUE(TRIM(CLEAN(MID(C23,FIND("(",C23)+1,FIND("/",C23,1)-FIND("(",C23)-1)))))</f>
        <v>4</v>
      </c>
      <c r="E4" s="29" t="s">
        <v>2</v>
      </c>
    </row>
    <row r="5" spans="1:5" ht="22.5" x14ac:dyDescent="0.2">
      <c r="A5" s="20" t="s">
        <v>17</v>
      </c>
      <c r="B5" s="21">
        <f>IF(ISERROR(VALUE(TRIM(CLEAN(MID(C24,FIND("/",C24)+1,FIND(")",C24,1)-FIND("/",C24)-1))))),0,VALUE(TRIM(CLEAN(MID(C24,FIND("/",C24)+1,FIND(")",C24,1)-FIND("/",C24)-1)))))</f>
        <v>2</v>
      </c>
      <c r="C5" s="16">
        <f>IF(ISERROR(VALUE(TRIM(CLEAN(MID(C24,FIND("(",C24)+1,FIND("/",C24,1)-FIND("(",C24)-1))))),0,VALUE(TRIM(CLEAN(MID(C24,FIND("(",C24)+1,FIND("/",C24,1)-FIND("(",C24)-1)))))</f>
        <v>2</v>
      </c>
    </row>
    <row r="6" spans="1:5" x14ac:dyDescent="0.2">
      <c r="A6" s="20"/>
      <c r="B6" s="21"/>
      <c r="C6" s="16"/>
    </row>
    <row r="7" spans="1:5" ht="13.5" thickBot="1" x14ac:dyDescent="0.25">
      <c r="A7" s="22" t="s">
        <v>13</v>
      </c>
      <c r="B7" s="23">
        <f>SUM(B2:B5)</f>
        <v>7</v>
      </c>
      <c r="C7" s="17">
        <f>SUM(C2:C5)</f>
        <v>7</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715</v>
      </c>
    </row>
    <row r="20" spans="1:8" x14ac:dyDescent="0.2">
      <c r="C20" s="5" t="s">
        <v>703</v>
      </c>
    </row>
    <row r="21" spans="1:8" x14ac:dyDescent="0.2">
      <c r="C21" s="5" t="s">
        <v>704</v>
      </c>
    </row>
    <row r="22" spans="1:8" x14ac:dyDescent="0.2">
      <c r="C22" s="5" t="s">
        <v>705</v>
      </c>
    </row>
    <row r="23" spans="1:8" x14ac:dyDescent="0.2">
      <c r="C23" s="5" t="s">
        <v>706</v>
      </c>
    </row>
    <row r="24" spans="1:8" x14ac:dyDescent="0.2">
      <c r="C24" s="5" t="s">
        <v>707</v>
      </c>
    </row>
    <row r="25" spans="1:8" x14ac:dyDescent="0.2">
      <c r="B25" s="5" t="s">
        <v>716</v>
      </c>
    </row>
    <row r="26" spans="1:8" x14ac:dyDescent="0.2">
      <c r="D26" s="5" t="s">
        <v>703</v>
      </c>
    </row>
    <row r="27" spans="1:8" x14ac:dyDescent="0.2">
      <c r="D27" s="5" t="s">
        <v>704</v>
      </c>
    </row>
    <row r="28" spans="1:8" x14ac:dyDescent="0.2">
      <c r="D28" s="5" t="s">
        <v>705</v>
      </c>
    </row>
    <row r="29" spans="1:8" x14ac:dyDescent="0.2">
      <c r="D29" s="5" t="s">
        <v>706</v>
      </c>
    </row>
    <row r="30" spans="1:8" x14ac:dyDescent="0.2">
      <c r="D30" s="5" t="s">
        <v>707</v>
      </c>
    </row>
  </sheetData>
  <autoFilter ref="A18:H18"/>
  <conditionalFormatting sqref="C17">
    <cfRule type="cellIs" dxfId="179" priority="1" stopIfTrue="1" operator="equal">
      <formula>$B$10</formula>
    </cfRule>
    <cfRule type="cellIs" dxfId="178"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indexed="11"/>
  </sheetPr>
  <dimension ref="A1:H30"/>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v>
      </c>
      <c r="C2" s="15">
        <f>IF(ISERROR(VALUE(TRIM(CLEAN(MID(C20,FIND("(",C20)+1,FIND("/",C20,1)-FIND("(",C20)-1))))),0,VALUE(TRIM(CLEAN(MID(C20,FIND("(",C20)+1,FIND("/",C20,1)-FIND("(",C20)-1)))))</f>
        <v>1</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0</v>
      </c>
      <c r="C4" s="16">
        <f>IF(ISERROR(VALUE(TRIM(CLEAN(MID(C23,FIND("(",C23)+1,FIND("/",C23,1)-FIND("(",C23)-1))))),0,VALUE(TRIM(CLEAN(MID(C23,FIND("(",C23)+1,FIND("/",C23,1)-FIND("(",C23)-1)))))</f>
        <v>0</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1</v>
      </c>
      <c r="C7" s="17">
        <f>SUM(C2:C5)</f>
        <v>1</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718</v>
      </c>
    </row>
    <row r="20" spans="1:8" x14ac:dyDescent="0.2">
      <c r="C20" s="5" t="s">
        <v>703</v>
      </c>
    </row>
    <row r="21" spans="1:8" x14ac:dyDescent="0.2">
      <c r="C21" s="5" t="s">
        <v>704</v>
      </c>
    </row>
    <row r="22" spans="1:8" x14ac:dyDescent="0.2">
      <c r="C22" s="5" t="s">
        <v>705</v>
      </c>
    </row>
    <row r="23" spans="1:8" x14ac:dyDescent="0.2">
      <c r="C23" s="5" t="s">
        <v>711</v>
      </c>
    </row>
    <row r="24" spans="1:8" x14ac:dyDescent="0.2">
      <c r="C24" s="5" t="s">
        <v>712</v>
      </c>
    </row>
    <row r="25" spans="1:8" x14ac:dyDescent="0.2">
      <c r="B25" s="5" t="s">
        <v>719</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sheetData>
  <autoFilter ref="A18:H18"/>
  <conditionalFormatting sqref="C17">
    <cfRule type="cellIs" dxfId="177" priority="1" stopIfTrue="1" operator="equal">
      <formula>$B$10</formula>
    </cfRule>
    <cfRule type="cellIs" dxfId="176"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indexed="11"/>
  </sheetPr>
  <dimension ref="A1:H36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57</v>
      </c>
      <c r="C2" s="15">
        <f>IF(ISERROR(VALUE(TRIM(CLEAN(MID(C20,FIND("(",C20)+1,FIND("/",C20,1)-FIND("(",C20)-1))))),0,VALUE(TRIM(CLEAN(MID(C20,FIND("(",C20)+1,FIND("/",C20,1)-FIND("(",C20)-1)))))</f>
        <v>57</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3608</v>
      </c>
      <c r="C4" s="16">
        <f>IF(ISERROR(VALUE(TRIM(CLEAN(MID(C23,FIND("(",C23)+1,FIND("/",C23,1)-FIND("(",C23)-1))))),0,VALUE(TRIM(CLEAN(MID(C23,FIND("(",C23)+1,FIND("/",C23,1)-FIND("(",C23)-1)))))</f>
        <v>3608</v>
      </c>
      <c r="E4" s="29" t="s">
        <v>2</v>
      </c>
    </row>
    <row r="5" spans="1:5" ht="22.5" x14ac:dyDescent="0.2">
      <c r="A5" s="20" t="s">
        <v>17</v>
      </c>
      <c r="B5" s="21">
        <f>IF(ISERROR(VALUE(TRIM(CLEAN(MID(C24,FIND("/",C24)+1,FIND(")",C24,1)-FIND("/",C24)-1))))),0,VALUE(TRIM(CLEAN(MID(C24,FIND("/",C24)+1,FIND(")",C24,1)-FIND("/",C24)-1)))))</f>
        <v>1804</v>
      </c>
      <c r="C5" s="16">
        <f>IF(ISERROR(VALUE(TRIM(CLEAN(MID(C24,FIND("(",C24)+1,FIND("/",C24,1)-FIND("(",C24)-1))))),0,VALUE(TRIM(CLEAN(MID(C24,FIND("(",C24)+1,FIND("/",C24,1)-FIND("(",C24)-1)))))</f>
        <v>1804</v>
      </c>
    </row>
    <row r="6" spans="1:5" x14ac:dyDescent="0.2">
      <c r="A6" s="20"/>
      <c r="B6" s="21"/>
      <c r="C6" s="16"/>
    </row>
    <row r="7" spans="1:5" ht="13.5" thickBot="1" x14ac:dyDescent="0.25">
      <c r="A7" s="22" t="s">
        <v>13</v>
      </c>
      <c r="B7" s="23">
        <f>SUM(B2:B5)</f>
        <v>5469</v>
      </c>
      <c r="C7" s="17">
        <f>SUM(C2:C5)</f>
        <v>5469</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721</v>
      </c>
    </row>
    <row r="20" spans="1:8" x14ac:dyDescent="0.2">
      <c r="C20" s="5" t="s">
        <v>722</v>
      </c>
    </row>
    <row r="21" spans="1:8" x14ac:dyDescent="0.2">
      <c r="C21" s="5" t="s">
        <v>704</v>
      </c>
    </row>
    <row r="22" spans="1:8" x14ac:dyDescent="0.2">
      <c r="C22" s="5" t="s">
        <v>723</v>
      </c>
    </row>
    <row r="23" spans="1:8" x14ac:dyDescent="0.2">
      <c r="C23" s="5" t="s">
        <v>724</v>
      </c>
    </row>
    <row r="24" spans="1:8" x14ac:dyDescent="0.2">
      <c r="C24" s="5" t="s">
        <v>725</v>
      </c>
    </row>
    <row r="25" spans="1:8" x14ac:dyDescent="0.2">
      <c r="B25" s="5" t="s">
        <v>726</v>
      </c>
    </row>
    <row r="26" spans="1:8" x14ac:dyDescent="0.2">
      <c r="D26" s="5" t="s">
        <v>703</v>
      </c>
    </row>
    <row r="27" spans="1:8" x14ac:dyDescent="0.2">
      <c r="D27" s="5" t="s">
        <v>704</v>
      </c>
    </row>
    <row r="28" spans="1:8" x14ac:dyDescent="0.2">
      <c r="D28" s="5" t="s">
        <v>705</v>
      </c>
    </row>
    <row r="29" spans="1:8" x14ac:dyDescent="0.2">
      <c r="D29" s="5" t="s">
        <v>727</v>
      </c>
    </row>
    <row r="30" spans="1:8" x14ac:dyDescent="0.2">
      <c r="D30" s="5" t="s">
        <v>728</v>
      </c>
    </row>
    <row r="31" spans="1:8" x14ac:dyDescent="0.2">
      <c r="B31" s="5" t="s">
        <v>729</v>
      </c>
    </row>
    <row r="32" spans="1:8" x14ac:dyDescent="0.2">
      <c r="D32" s="5" t="s">
        <v>703</v>
      </c>
    </row>
    <row r="33" spans="2:4" x14ac:dyDescent="0.2">
      <c r="D33" s="5" t="s">
        <v>704</v>
      </c>
    </row>
    <row r="34" spans="2:4" x14ac:dyDescent="0.2">
      <c r="D34" s="5" t="s">
        <v>705</v>
      </c>
    </row>
    <row r="35" spans="2:4" x14ac:dyDescent="0.2">
      <c r="D35" s="5" t="s">
        <v>730</v>
      </c>
    </row>
    <row r="36" spans="2:4" x14ac:dyDescent="0.2">
      <c r="D36" s="5" t="s">
        <v>731</v>
      </c>
    </row>
    <row r="37" spans="2:4" x14ac:dyDescent="0.2">
      <c r="B37" s="5" t="s">
        <v>732</v>
      </c>
    </row>
    <row r="38" spans="2:4" x14ac:dyDescent="0.2">
      <c r="D38" s="5" t="s">
        <v>703</v>
      </c>
    </row>
    <row r="39" spans="2:4" x14ac:dyDescent="0.2">
      <c r="D39" s="5" t="s">
        <v>704</v>
      </c>
    </row>
    <row r="40" spans="2:4" x14ac:dyDescent="0.2">
      <c r="D40" s="5" t="s">
        <v>705</v>
      </c>
    </row>
    <row r="41" spans="2:4" x14ac:dyDescent="0.2">
      <c r="D41" s="5" t="s">
        <v>733</v>
      </c>
    </row>
    <row r="42" spans="2:4" x14ac:dyDescent="0.2">
      <c r="D42" s="5" t="s">
        <v>734</v>
      </c>
    </row>
    <row r="43" spans="2:4" x14ac:dyDescent="0.2">
      <c r="B43" s="5" t="s">
        <v>735</v>
      </c>
    </row>
    <row r="44" spans="2:4" x14ac:dyDescent="0.2">
      <c r="D44" s="5" t="s">
        <v>703</v>
      </c>
    </row>
    <row r="45" spans="2:4" x14ac:dyDescent="0.2">
      <c r="D45" s="5" t="s">
        <v>704</v>
      </c>
    </row>
    <row r="46" spans="2:4" x14ac:dyDescent="0.2">
      <c r="D46" s="5" t="s">
        <v>705</v>
      </c>
    </row>
    <row r="47" spans="2:4" x14ac:dyDescent="0.2">
      <c r="D47" s="5" t="s">
        <v>736</v>
      </c>
    </row>
    <row r="48" spans="2:4" x14ac:dyDescent="0.2">
      <c r="D48" s="5" t="s">
        <v>737</v>
      </c>
    </row>
    <row r="49" spans="2:4" x14ac:dyDescent="0.2">
      <c r="B49" s="5" t="s">
        <v>738</v>
      </c>
    </row>
    <row r="50" spans="2:4" x14ac:dyDescent="0.2">
      <c r="D50" s="5" t="s">
        <v>703</v>
      </c>
    </row>
    <row r="51" spans="2:4" x14ac:dyDescent="0.2">
      <c r="D51" s="5" t="s">
        <v>704</v>
      </c>
    </row>
    <row r="52" spans="2:4" x14ac:dyDescent="0.2">
      <c r="D52" s="5" t="s">
        <v>705</v>
      </c>
    </row>
    <row r="53" spans="2:4" x14ac:dyDescent="0.2">
      <c r="D53" s="5" t="s">
        <v>733</v>
      </c>
    </row>
    <row r="54" spans="2:4" x14ac:dyDescent="0.2">
      <c r="D54" s="5" t="s">
        <v>734</v>
      </c>
    </row>
    <row r="55" spans="2:4" x14ac:dyDescent="0.2">
      <c r="B55" s="5" t="s">
        <v>739</v>
      </c>
    </row>
    <row r="56" spans="2:4" x14ac:dyDescent="0.2">
      <c r="D56" s="5" t="s">
        <v>703</v>
      </c>
    </row>
    <row r="57" spans="2:4" x14ac:dyDescent="0.2">
      <c r="D57" s="5" t="s">
        <v>704</v>
      </c>
    </row>
    <row r="58" spans="2:4" x14ac:dyDescent="0.2">
      <c r="D58" s="5" t="s">
        <v>705</v>
      </c>
    </row>
    <row r="59" spans="2:4" x14ac:dyDescent="0.2">
      <c r="D59" s="5" t="s">
        <v>711</v>
      </c>
    </row>
    <row r="60" spans="2:4" x14ac:dyDescent="0.2">
      <c r="D60" s="5" t="s">
        <v>712</v>
      </c>
    </row>
    <row r="61" spans="2:4" x14ac:dyDescent="0.2">
      <c r="B61" s="5" t="s">
        <v>740</v>
      </c>
    </row>
    <row r="62" spans="2:4" x14ac:dyDescent="0.2">
      <c r="D62" s="5" t="s">
        <v>703</v>
      </c>
    </row>
    <row r="63" spans="2:4" x14ac:dyDescent="0.2">
      <c r="D63" s="5" t="s">
        <v>704</v>
      </c>
    </row>
    <row r="64" spans="2:4" x14ac:dyDescent="0.2">
      <c r="D64" s="5" t="s">
        <v>705</v>
      </c>
    </row>
    <row r="65" spans="2:4" x14ac:dyDescent="0.2">
      <c r="D65" s="5" t="s">
        <v>711</v>
      </c>
    </row>
    <row r="66" spans="2:4" x14ac:dyDescent="0.2">
      <c r="D66" s="5" t="s">
        <v>712</v>
      </c>
    </row>
    <row r="67" spans="2:4" x14ac:dyDescent="0.2">
      <c r="B67" s="5" t="s">
        <v>741</v>
      </c>
    </row>
    <row r="68" spans="2:4" x14ac:dyDescent="0.2">
      <c r="D68" s="5" t="s">
        <v>703</v>
      </c>
    </row>
    <row r="69" spans="2:4" x14ac:dyDescent="0.2">
      <c r="D69" s="5" t="s">
        <v>704</v>
      </c>
    </row>
    <row r="70" spans="2:4" x14ac:dyDescent="0.2">
      <c r="D70" s="5" t="s">
        <v>705</v>
      </c>
    </row>
    <row r="71" spans="2:4" x14ac:dyDescent="0.2">
      <c r="D71" s="5" t="s">
        <v>711</v>
      </c>
    </row>
    <row r="72" spans="2:4" x14ac:dyDescent="0.2">
      <c r="D72" s="5" t="s">
        <v>712</v>
      </c>
    </row>
    <row r="73" spans="2:4" x14ac:dyDescent="0.2">
      <c r="B73" s="5" t="s">
        <v>742</v>
      </c>
    </row>
    <row r="74" spans="2:4" x14ac:dyDescent="0.2">
      <c r="D74" s="5" t="s">
        <v>703</v>
      </c>
    </row>
    <row r="75" spans="2:4" x14ac:dyDescent="0.2">
      <c r="D75" s="5" t="s">
        <v>704</v>
      </c>
    </row>
    <row r="76" spans="2:4" x14ac:dyDescent="0.2">
      <c r="D76" s="5" t="s">
        <v>705</v>
      </c>
    </row>
    <row r="77" spans="2:4" x14ac:dyDescent="0.2">
      <c r="D77" s="5" t="s">
        <v>743</v>
      </c>
    </row>
    <row r="78" spans="2:4" x14ac:dyDescent="0.2">
      <c r="D78" s="5" t="s">
        <v>744</v>
      </c>
    </row>
    <row r="79" spans="2:4" x14ac:dyDescent="0.2">
      <c r="B79" s="5" t="s">
        <v>745</v>
      </c>
    </row>
    <row r="80" spans="2:4" x14ac:dyDescent="0.2">
      <c r="D80" s="5" t="s">
        <v>703</v>
      </c>
    </row>
    <row r="81" spans="2:4" x14ac:dyDescent="0.2">
      <c r="D81" s="5" t="s">
        <v>704</v>
      </c>
    </row>
    <row r="82" spans="2:4" x14ac:dyDescent="0.2">
      <c r="D82" s="5" t="s">
        <v>705</v>
      </c>
    </row>
    <row r="83" spans="2:4" x14ac:dyDescent="0.2">
      <c r="D83" s="5" t="s">
        <v>711</v>
      </c>
    </row>
    <row r="84" spans="2:4" x14ac:dyDescent="0.2">
      <c r="D84" s="5" t="s">
        <v>712</v>
      </c>
    </row>
    <row r="85" spans="2:4" x14ac:dyDescent="0.2">
      <c r="B85" s="5" t="s">
        <v>746</v>
      </c>
    </row>
    <row r="86" spans="2:4" x14ac:dyDescent="0.2">
      <c r="D86" s="5" t="s">
        <v>703</v>
      </c>
    </row>
    <row r="87" spans="2:4" x14ac:dyDescent="0.2">
      <c r="D87" s="5" t="s">
        <v>704</v>
      </c>
    </row>
    <row r="88" spans="2:4" x14ac:dyDescent="0.2">
      <c r="D88" s="5" t="s">
        <v>705</v>
      </c>
    </row>
    <row r="89" spans="2:4" x14ac:dyDescent="0.2">
      <c r="D89" s="5" t="s">
        <v>747</v>
      </c>
    </row>
    <row r="90" spans="2:4" x14ac:dyDescent="0.2">
      <c r="D90" s="5" t="s">
        <v>748</v>
      </c>
    </row>
    <row r="91" spans="2:4" x14ac:dyDescent="0.2">
      <c r="B91" s="5" t="s">
        <v>749</v>
      </c>
    </row>
    <row r="92" spans="2:4" x14ac:dyDescent="0.2">
      <c r="D92" s="5" t="s">
        <v>703</v>
      </c>
    </row>
    <row r="93" spans="2:4" x14ac:dyDescent="0.2">
      <c r="D93" s="5" t="s">
        <v>704</v>
      </c>
    </row>
    <row r="94" spans="2:4" x14ac:dyDescent="0.2">
      <c r="D94" s="5" t="s">
        <v>705</v>
      </c>
    </row>
    <row r="95" spans="2:4" x14ac:dyDescent="0.2">
      <c r="D95" s="5" t="s">
        <v>711</v>
      </c>
    </row>
    <row r="96" spans="2:4" x14ac:dyDescent="0.2">
      <c r="D96" s="5" t="s">
        <v>712</v>
      </c>
    </row>
    <row r="97" spans="2:4" x14ac:dyDescent="0.2">
      <c r="B97" s="5" t="s">
        <v>750</v>
      </c>
    </row>
    <row r="98" spans="2:4" x14ac:dyDescent="0.2">
      <c r="D98" s="5" t="s">
        <v>703</v>
      </c>
    </row>
    <row r="99" spans="2:4" x14ac:dyDescent="0.2">
      <c r="D99" s="5" t="s">
        <v>704</v>
      </c>
    </row>
    <row r="100" spans="2:4" x14ac:dyDescent="0.2">
      <c r="D100" s="5" t="s">
        <v>705</v>
      </c>
    </row>
    <row r="101" spans="2:4" x14ac:dyDescent="0.2">
      <c r="D101" s="5" t="s">
        <v>706</v>
      </c>
    </row>
    <row r="102" spans="2:4" x14ac:dyDescent="0.2">
      <c r="D102" s="5" t="s">
        <v>707</v>
      </c>
    </row>
    <row r="103" spans="2:4" x14ac:dyDescent="0.2">
      <c r="B103" s="5" t="s">
        <v>751</v>
      </c>
    </row>
    <row r="104" spans="2:4" x14ac:dyDescent="0.2">
      <c r="D104" s="5" t="s">
        <v>703</v>
      </c>
    </row>
    <row r="105" spans="2:4" x14ac:dyDescent="0.2">
      <c r="D105" s="5" t="s">
        <v>704</v>
      </c>
    </row>
    <row r="106" spans="2:4" x14ac:dyDescent="0.2">
      <c r="D106" s="5" t="s">
        <v>705</v>
      </c>
    </row>
    <row r="107" spans="2:4" x14ac:dyDescent="0.2">
      <c r="D107" s="5" t="s">
        <v>752</v>
      </c>
    </row>
    <row r="108" spans="2:4" x14ac:dyDescent="0.2">
      <c r="D108" s="5" t="s">
        <v>753</v>
      </c>
    </row>
    <row r="109" spans="2:4" x14ac:dyDescent="0.2">
      <c r="B109" s="5" t="s">
        <v>754</v>
      </c>
    </row>
    <row r="110" spans="2:4" x14ac:dyDescent="0.2">
      <c r="D110" s="5" t="s">
        <v>703</v>
      </c>
    </row>
    <row r="111" spans="2:4" x14ac:dyDescent="0.2">
      <c r="D111" s="5" t="s">
        <v>704</v>
      </c>
    </row>
    <row r="112" spans="2:4" x14ac:dyDescent="0.2">
      <c r="D112" s="5" t="s">
        <v>705</v>
      </c>
    </row>
    <row r="113" spans="2:4" x14ac:dyDescent="0.2">
      <c r="D113" s="5" t="s">
        <v>755</v>
      </c>
    </row>
    <row r="114" spans="2:4" x14ac:dyDescent="0.2">
      <c r="D114" s="5" t="s">
        <v>756</v>
      </c>
    </row>
    <row r="115" spans="2:4" x14ac:dyDescent="0.2">
      <c r="B115" s="5" t="s">
        <v>757</v>
      </c>
    </row>
    <row r="116" spans="2:4" x14ac:dyDescent="0.2">
      <c r="D116" s="5" t="s">
        <v>703</v>
      </c>
    </row>
    <row r="117" spans="2:4" x14ac:dyDescent="0.2">
      <c r="D117" s="5" t="s">
        <v>704</v>
      </c>
    </row>
    <row r="118" spans="2:4" x14ac:dyDescent="0.2">
      <c r="D118" s="5" t="s">
        <v>705</v>
      </c>
    </row>
    <row r="119" spans="2:4" x14ac:dyDescent="0.2">
      <c r="D119" s="5" t="s">
        <v>755</v>
      </c>
    </row>
    <row r="120" spans="2:4" x14ac:dyDescent="0.2">
      <c r="D120" s="5" t="s">
        <v>756</v>
      </c>
    </row>
    <row r="121" spans="2:4" x14ac:dyDescent="0.2">
      <c r="B121" s="5" t="s">
        <v>758</v>
      </c>
    </row>
    <row r="122" spans="2:4" x14ac:dyDescent="0.2">
      <c r="D122" s="5" t="s">
        <v>703</v>
      </c>
    </row>
    <row r="123" spans="2:4" x14ac:dyDescent="0.2">
      <c r="D123" s="5" t="s">
        <v>704</v>
      </c>
    </row>
    <row r="124" spans="2:4" x14ac:dyDescent="0.2">
      <c r="D124" s="5" t="s">
        <v>705</v>
      </c>
    </row>
    <row r="125" spans="2:4" x14ac:dyDescent="0.2">
      <c r="D125" s="5" t="s">
        <v>755</v>
      </c>
    </row>
    <row r="126" spans="2:4" x14ac:dyDescent="0.2">
      <c r="D126" s="5" t="s">
        <v>756</v>
      </c>
    </row>
    <row r="127" spans="2:4" x14ac:dyDescent="0.2">
      <c r="B127" s="5" t="s">
        <v>759</v>
      </c>
    </row>
    <row r="128" spans="2:4" x14ac:dyDescent="0.2">
      <c r="D128" s="5" t="s">
        <v>703</v>
      </c>
    </row>
    <row r="129" spans="2:4" x14ac:dyDescent="0.2">
      <c r="D129" s="5" t="s">
        <v>704</v>
      </c>
    </row>
    <row r="130" spans="2:4" x14ac:dyDescent="0.2">
      <c r="D130" s="5" t="s">
        <v>705</v>
      </c>
    </row>
    <row r="131" spans="2:4" x14ac:dyDescent="0.2">
      <c r="D131" s="5" t="s">
        <v>760</v>
      </c>
    </row>
    <row r="132" spans="2:4" x14ac:dyDescent="0.2">
      <c r="D132" s="5" t="s">
        <v>761</v>
      </c>
    </row>
    <row r="133" spans="2:4" x14ac:dyDescent="0.2">
      <c r="B133" s="5" t="s">
        <v>762</v>
      </c>
    </row>
    <row r="134" spans="2:4" x14ac:dyDescent="0.2">
      <c r="D134" s="5" t="s">
        <v>703</v>
      </c>
    </row>
    <row r="135" spans="2:4" x14ac:dyDescent="0.2">
      <c r="D135" s="5" t="s">
        <v>704</v>
      </c>
    </row>
    <row r="136" spans="2:4" x14ac:dyDescent="0.2">
      <c r="D136" s="5" t="s">
        <v>705</v>
      </c>
    </row>
    <row r="137" spans="2:4" x14ac:dyDescent="0.2">
      <c r="D137" s="5" t="s">
        <v>763</v>
      </c>
    </row>
    <row r="138" spans="2:4" x14ac:dyDescent="0.2">
      <c r="D138" s="5" t="s">
        <v>764</v>
      </c>
    </row>
    <row r="139" spans="2:4" x14ac:dyDescent="0.2">
      <c r="B139" s="5" t="s">
        <v>765</v>
      </c>
    </row>
    <row r="140" spans="2:4" x14ac:dyDescent="0.2">
      <c r="D140" s="5" t="s">
        <v>703</v>
      </c>
    </row>
    <row r="141" spans="2:4" x14ac:dyDescent="0.2">
      <c r="D141" s="5" t="s">
        <v>704</v>
      </c>
    </row>
    <row r="142" spans="2:4" x14ac:dyDescent="0.2">
      <c r="D142" s="5" t="s">
        <v>705</v>
      </c>
    </row>
    <row r="143" spans="2:4" x14ac:dyDescent="0.2">
      <c r="D143" s="5" t="s">
        <v>763</v>
      </c>
    </row>
    <row r="144" spans="2:4" x14ac:dyDescent="0.2">
      <c r="D144" s="5" t="s">
        <v>764</v>
      </c>
    </row>
    <row r="145" spans="2:4" x14ac:dyDescent="0.2">
      <c r="B145" s="5" t="s">
        <v>766</v>
      </c>
    </row>
    <row r="146" spans="2:4" x14ac:dyDescent="0.2">
      <c r="D146" s="5" t="s">
        <v>703</v>
      </c>
    </row>
    <row r="147" spans="2:4" x14ac:dyDescent="0.2">
      <c r="D147" s="5" t="s">
        <v>704</v>
      </c>
    </row>
    <row r="148" spans="2:4" x14ac:dyDescent="0.2">
      <c r="D148" s="5" t="s">
        <v>705</v>
      </c>
    </row>
    <row r="149" spans="2:4" x14ac:dyDescent="0.2">
      <c r="D149" s="5" t="s">
        <v>763</v>
      </c>
    </row>
    <row r="150" spans="2:4" x14ac:dyDescent="0.2">
      <c r="D150" s="5" t="s">
        <v>764</v>
      </c>
    </row>
    <row r="151" spans="2:4" x14ac:dyDescent="0.2">
      <c r="B151" s="5" t="s">
        <v>767</v>
      </c>
    </row>
    <row r="152" spans="2:4" x14ac:dyDescent="0.2">
      <c r="D152" s="5" t="s">
        <v>703</v>
      </c>
    </row>
    <row r="153" spans="2:4" x14ac:dyDescent="0.2">
      <c r="D153" s="5" t="s">
        <v>704</v>
      </c>
    </row>
    <row r="154" spans="2:4" x14ac:dyDescent="0.2">
      <c r="D154" s="5" t="s">
        <v>705</v>
      </c>
    </row>
    <row r="155" spans="2:4" x14ac:dyDescent="0.2">
      <c r="D155" s="5" t="s">
        <v>711</v>
      </c>
    </row>
    <row r="156" spans="2:4" x14ac:dyDescent="0.2">
      <c r="D156" s="5" t="s">
        <v>712</v>
      </c>
    </row>
    <row r="157" spans="2:4" x14ac:dyDescent="0.2">
      <c r="B157" s="5" t="s">
        <v>768</v>
      </c>
    </row>
    <row r="158" spans="2:4" x14ac:dyDescent="0.2">
      <c r="D158" s="5" t="s">
        <v>703</v>
      </c>
    </row>
    <row r="159" spans="2:4" x14ac:dyDescent="0.2">
      <c r="D159" s="5" t="s">
        <v>704</v>
      </c>
    </row>
    <row r="160" spans="2:4" x14ac:dyDescent="0.2">
      <c r="D160" s="5" t="s">
        <v>705</v>
      </c>
    </row>
    <row r="161" spans="2:4" x14ac:dyDescent="0.2">
      <c r="D161" s="5" t="s">
        <v>711</v>
      </c>
    </row>
    <row r="162" spans="2:4" x14ac:dyDescent="0.2">
      <c r="D162" s="5" t="s">
        <v>712</v>
      </c>
    </row>
    <row r="163" spans="2:4" x14ac:dyDescent="0.2">
      <c r="B163" s="5" t="s">
        <v>769</v>
      </c>
    </row>
    <row r="164" spans="2:4" x14ac:dyDescent="0.2">
      <c r="D164" s="5" t="s">
        <v>703</v>
      </c>
    </row>
    <row r="165" spans="2:4" x14ac:dyDescent="0.2">
      <c r="D165" s="5" t="s">
        <v>704</v>
      </c>
    </row>
    <row r="166" spans="2:4" x14ac:dyDescent="0.2">
      <c r="D166" s="5" t="s">
        <v>705</v>
      </c>
    </row>
    <row r="167" spans="2:4" x14ac:dyDescent="0.2">
      <c r="D167" s="5" t="s">
        <v>711</v>
      </c>
    </row>
    <row r="168" spans="2:4" x14ac:dyDescent="0.2">
      <c r="D168" s="5" t="s">
        <v>712</v>
      </c>
    </row>
    <row r="169" spans="2:4" x14ac:dyDescent="0.2">
      <c r="B169" s="5" t="s">
        <v>770</v>
      </c>
    </row>
    <row r="170" spans="2:4" x14ac:dyDescent="0.2">
      <c r="D170" s="5" t="s">
        <v>703</v>
      </c>
    </row>
    <row r="171" spans="2:4" x14ac:dyDescent="0.2">
      <c r="D171" s="5" t="s">
        <v>704</v>
      </c>
    </row>
    <row r="172" spans="2:4" x14ac:dyDescent="0.2">
      <c r="D172" s="5" t="s">
        <v>705</v>
      </c>
    </row>
    <row r="173" spans="2:4" x14ac:dyDescent="0.2">
      <c r="D173" s="5" t="s">
        <v>771</v>
      </c>
    </row>
    <row r="174" spans="2:4" x14ac:dyDescent="0.2">
      <c r="D174" s="5" t="s">
        <v>772</v>
      </c>
    </row>
    <row r="175" spans="2:4" x14ac:dyDescent="0.2">
      <c r="B175" s="5" t="s">
        <v>773</v>
      </c>
    </row>
    <row r="176" spans="2:4" x14ac:dyDescent="0.2">
      <c r="D176" s="5" t="s">
        <v>703</v>
      </c>
    </row>
    <row r="177" spans="2:4" x14ac:dyDescent="0.2">
      <c r="D177" s="5" t="s">
        <v>704</v>
      </c>
    </row>
    <row r="178" spans="2:4" x14ac:dyDescent="0.2">
      <c r="D178" s="5" t="s">
        <v>705</v>
      </c>
    </row>
    <row r="179" spans="2:4" x14ac:dyDescent="0.2">
      <c r="D179" s="5" t="s">
        <v>771</v>
      </c>
    </row>
    <row r="180" spans="2:4" x14ac:dyDescent="0.2">
      <c r="D180" s="5" t="s">
        <v>772</v>
      </c>
    </row>
    <row r="181" spans="2:4" x14ac:dyDescent="0.2">
      <c r="B181" s="5" t="s">
        <v>774</v>
      </c>
    </row>
    <row r="182" spans="2:4" x14ac:dyDescent="0.2">
      <c r="D182" s="5" t="s">
        <v>703</v>
      </c>
    </row>
    <row r="183" spans="2:4" x14ac:dyDescent="0.2">
      <c r="D183" s="5" t="s">
        <v>704</v>
      </c>
    </row>
    <row r="184" spans="2:4" x14ac:dyDescent="0.2">
      <c r="D184" s="5" t="s">
        <v>705</v>
      </c>
    </row>
    <row r="185" spans="2:4" x14ac:dyDescent="0.2">
      <c r="D185" s="5" t="s">
        <v>760</v>
      </c>
    </row>
    <row r="186" spans="2:4" x14ac:dyDescent="0.2">
      <c r="D186" s="5" t="s">
        <v>761</v>
      </c>
    </row>
    <row r="187" spans="2:4" x14ac:dyDescent="0.2">
      <c r="B187" s="5" t="s">
        <v>775</v>
      </c>
    </row>
    <row r="188" spans="2:4" x14ac:dyDescent="0.2">
      <c r="D188" s="5" t="s">
        <v>703</v>
      </c>
    </row>
    <row r="189" spans="2:4" x14ac:dyDescent="0.2">
      <c r="D189" s="5" t="s">
        <v>704</v>
      </c>
    </row>
    <row r="190" spans="2:4" x14ac:dyDescent="0.2">
      <c r="D190" s="5" t="s">
        <v>705</v>
      </c>
    </row>
    <row r="191" spans="2:4" x14ac:dyDescent="0.2">
      <c r="D191" s="5" t="s">
        <v>760</v>
      </c>
    </row>
    <row r="192" spans="2:4" x14ac:dyDescent="0.2">
      <c r="D192" s="5" t="s">
        <v>761</v>
      </c>
    </row>
    <row r="193" spans="2:4" x14ac:dyDescent="0.2">
      <c r="B193" s="5" t="s">
        <v>776</v>
      </c>
    </row>
    <row r="194" spans="2:4" x14ac:dyDescent="0.2">
      <c r="D194" s="5" t="s">
        <v>703</v>
      </c>
    </row>
    <row r="195" spans="2:4" x14ac:dyDescent="0.2">
      <c r="D195" s="5" t="s">
        <v>704</v>
      </c>
    </row>
    <row r="196" spans="2:4" x14ac:dyDescent="0.2">
      <c r="D196" s="5" t="s">
        <v>705</v>
      </c>
    </row>
    <row r="197" spans="2:4" x14ac:dyDescent="0.2">
      <c r="D197" s="5" t="s">
        <v>711</v>
      </c>
    </row>
    <row r="198" spans="2:4" x14ac:dyDescent="0.2">
      <c r="D198" s="5" t="s">
        <v>712</v>
      </c>
    </row>
    <row r="199" spans="2:4" x14ac:dyDescent="0.2">
      <c r="B199" s="5" t="s">
        <v>777</v>
      </c>
    </row>
    <row r="200" spans="2:4" x14ac:dyDescent="0.2">
      <c r="D200" s="5" t="s">
        <v>703</v>
      </c>
    </row>
    <row r="201" spans="2:4" x14ac:dyDescent="0.2">
      <c r="D201" s="5" t="s">
        <v>704</v>
      </c>
    </row>
    <row r="202" spans="2:4" x14ac:dyDescent="0.2">
      <c r="D202" s="5" t="s">
        <v>705</v>
      </c>
    </row>
    <row r="203" spans="2:4" x14ac:dyDescent="0.2">
      <c r="D203" s="5" t="s">
        <v>730</v>
      </c>
    </row>
    <row r="204" spans="2:4" x14ac:dyDescent="0.2">
      <c r="D204" s="5" t="s">
        <v>731</v>
      </c>
    </row>
    <row r="205" spans="2:4" x14ac:dyDescent="0.2">
      <c r="B205" s="5" t="s">
        <v>778</v>
      </c>
    </row>
    <row r="206" spans="2:4" x14ac:dyDescent="0.2">
      <c r="D206" s="5" t="s">
        <v>703</v>
      </c>
    </row>
    <row r="207" spans="2:4" x14ac:dyDescent="0.2">
      <c r="D207" s="5" t="s">
        <v>704</v>
      </c>
    </row>
    <row r="208" spans="2:4" x14ac:dyDescent="0.2">
      <c r="D208" s="5" t="s">
        <v>705</v>
      </c>
    </row>
    <row r="209" spans="2:4" x14ac:dyDescent="0.2">
      <c r="D209" s="5" t="s">
        <v>711</v>
      </c>
    </row>
    <row r="210" spans="2:4" x14ac:dyDescent="0.2">
      <c r="D210" s="5" t="s">
        <v>712</v>
      </c>
    </row>
    <row r="211" spans="2:4" x14ac:dyDescent="0.2">
      <c r="B211" s="5" t="s">
        <v>779</v>
      </c>
    </row>
    <row r="212" spans="2:4" x14ac:dyDescent="0.2">
      <c r="D212" s="5" t="s">
        <v>703</v>
      </c>
    </row>
    <row r="213" spans="2:4" x14ac:dyDescent="0.2">
      <c r="D213" s="5" t="s">
        <v>704</v>
      </c>
    </row>
    <row r="214" spans="2:4" x14ac:dyDescent="0.2">
      <c r="D214" s="5" t="s">
        <v>705</v>
      </c>
    </row>
    <row r="215" spans="2:4" x14ac:dyDescent="0.2">
      <c r="D215" s="5" t="s">
        <v>711</v>
      </c>
    </row>
    <row r="216" spans="2:4" x14ac:dyDescent="0.2">
      <c r="D216" s="5" t="s">
        <v>712</v>
      </c>
    </row>
    <row r="217" spans="2:4" x14ac:dyDescent="0.2">
      <c r="B217" s="5" t="s">
        <v>780</v>
      </c>
    </row>
    <row r="218" spans="2:4" x14ac:dyDescent="0.2">
      <c r="D218" s="5" t="s">
        <v>703</v>
      </c>
    </row>
    <row r="219" spans="2:4" x14ac:dyDescent="0.2">
      <c r="D219" s="5" t="s">
        <v>704</v>
      </c>
    </row>
    <row r="220" spans="2:4" x14ac:dyDescent="0.2">
      <c r="D220" s="5" t="s">
        <v>705</v>
      </c>
    </row>
    <row r="221" spans="2:4" x14ac:dyDescent="0.2">
      <c r="D221" s="5" t="s">
        <v>781</v>
      </c>
    </row>
    <row r="222" spans="2:4" x14ac:dyDescent="0.2">
      <c r="D222" s="5" t="s">
        <v>782</v>
      </c>
    </row>
    <row r="223" spans="2:4" x14ac:dyDescent="0.2">
      <c r="B223" s="5" t="s">
        <v>783</v>
      </c>
    </row>
    <row r="224" spans="2:4" x14ac:dyDescent="0.2">
      <c r="D224" s="5" t="s">
        <v>703</v>
      </c>
    </row>
    <row r="225" spans="2:4" x14ac:dyDescent="0.2">
      <c r="D225" s="5" t="s">
        <v>704</v>
      </c>
    </row>
    <row r="226" spans="2:4" x14ac:dyDescent="0.2">
      <c r="D226" s="5" t="s">
        <v>705</v>
      </c>
    </row>
    <row r="227" spans="2:4" x14ac:dyDescent="0.2">
      <c r="D227" s="5" t="s">
        <v>711</v>
      </c>
    </row>
    <row r="228" spans="2:4" x14ac:dyDescent="0.2">
      <c r="D228" s="5" t="s">
        <v>712</v>
      </c>
    </row>
    <row r="229" spans="2:4" x14ac:dyDescent="0.2">
      <c r="B229" s="5" t="s">
        <v>784</v>
      </c>
    </row>
    <row r="230" spans="2:4" x14ac:dyDescent="0.2">
      <c r="D230" s="5" t="s">
        <v>703</v>
      </c>
    </row>
    <row r="231" spans="2:4" x14ac:dyDescent="0.2">
      <c r="D231" s="5" t="s">
        <v>704</v>
      </c>
    </row>
    <row r="232" spans="2:4" x14ac:dyDescent="0.2">
      <c r="D232" s="5" t="s">
        <v>705</v>
      </c>
    </row>
    <row r="233" spans="2:4" x14ac:dyDescent="0.2">
      <c r="D233" s="5" t="s">
        <v>711</v>
      </c>
    </row>
    <row r="234" spans="2:4" x14ac:dyDescent="0.2">
      <c r="D234" s="5" t="s">
        <v>712</v>
      </c>
    </row>
    <row r="235" spans="2:4" x14ac:dyDescent="0.2">
      <c r="B235" s="5" t="s">
        <v>785</v>
      </c>
    </row>
    <row r="236" spans="2:4" x14ac:dyDescent="0.2">
      <c r="D236" s="5" t="s">
        <v>703</v>
      </c>
    </row>
    <row r="237" spans="2:4" x14ac:dyDescent="0.2">
      <c r="D237" s="5" t="s">
        <v>704</v>
      </c>
    </row>
    <row r="238" spans="2:4" x14ac:dyDescent="0.2">
      <c r="D238" s="5" t="s">
        <v>705</v>
      </c>
    </row>
    <row r="239" spans="2:4" x14ac:dyDescent="0.2">
      <c r="D239" s="5" t="s">
        <v>711</v>
      </c>
    </row>
    <row r="240" spans="2:4" x14ac:dyDescent="0.2">
      <c r="D240" s="5" t="s">
        <v>712</v>
      </c>
    </row>
    <row r="241" spans="2:4" x14ac:dyDescent="0.2">
      <c r="B241" s="5" t="s">
        <v>786</v>
      </c>
    </row>
    <row r="242" spans="2:4" x14ac:dyDescent="0.2">
      <c r="D242" s="5" t="s">
        <v>703</v>
      </c>
    </row>
    <row r="243" spans="2:4" x14ac:dyDescent="0.2">
      <c r="D243" s="5" t="s">
        <v>704</v>
      </c>
    </row>
    <row r="244" spans="2:4" x14ac:dyDescent="0.2">
      <c r="D244" s="5" t="s">
        <v>705</v>
      </c>
    </row>
    <row r="245" spans="2:4" x14ac:dyDescent="0.2">
      <c r="D245" s="5" t="s">
        <v>743</v>
      </c>
    </row>
    <row r="246" spans="2:4" x14ac:dyDescent="0.2">
      <c r="D246" s="5" t="s">
        <v>744</v>
      </c>
    </row>
    <row r="247" spans="2:4" x14ac:dyDescent="0.2">
      <c r="B247" s="5" t="s">
        <v>787</v>
      </c>
    </row>
    <row r="248" spans="2:4" x14ac:dyDescent="0.2">
      <c r="D248" s="5" t="s">
        <v>703</v>
      </c>
    </row>
    <row r="249" spans="2:4" x14ac:dyDescent="0.2">
      <c r="D249" s="5" t="s">
        <v>704</v>
      </c>
    </row>
    <row r="250" spans="2:4" x14ac:dyDescent="0.2">
      <c r="D250" s="5" t="s">
        <v>705</v>
      </c>
    </row>
    <row r="251" spans="2:4" x14ac:dyDescent="0.2">
      <c r="D251" s="5" t="s">
        <v>743</v>
      </c>
    </row>
    <row r="252" spans="2:4" x14ac:dyDescent="0.2">
      <c r="D252" s="5" t="s">
        <v>744</v>
      </c>
    </row>
    <row r="253" spans="2:4" x14ac:dyDescent="0.2">
      <c r="B253" s="5" t="s">
        <v>788</v>
      </c>
    </row>
    <row r="254" spans="2:4" x14ac:dyDescent="0.2">
      <c r="D254" s="5" t="s">
        <v>703</v>
      </c>
    </row>
    <row r="255" spans="2:4" x14ac:dyDescent="0.2">
      <c r="D255" s="5" t="s">
        <v>704</v>
      </c>
    </row>
    <row r="256" spans="2:4" x14ac:dyDescent="0.2">
      <c r="D256" s="5" t="s">
        <v>705</v>
      </c>
    </row>
    <row r="257" spans="2:4" x14ac:dyDescent="0.2">
      <c r="D257" s="5" t="s">
        <v>743</v>
      </c>
    </row>
    <row r="258" spans="2:4" x14ac:dyDescent="0.2">
      <c r="D258" s="5" t="s">
        <v>744</v>
      </c>
    </row>
    <row r="259" spans="2:4" x14ac:dyDescent="0.2">
      <c r="B259" s="5" t="s">
        <v>789</v>
      </c>
    </row>
    <row r="260" spans="2:4" x14ac:dyDescent="0.2">
      <c r="D260" s="5" t="s">
        <v>703</v>
      </c>
    </row>
    <row r="261" spans="2:4" x14ac:dyDescent="0.2">
      <c r="D261" s="5" t="s">
        <v>704</v>
      </c>
    </row>
    <row r="262" spans="2:4" x14ac:dyDescent="0.2">
      <c r="D262" s="5" t="s">
        <v>705</v>
      </c>
    </row>
    <row r="263" spans="2:4" x14ac:dyDescent="0.2">
      <c r="D263" s="5" t="s">
        <v>743</v>
      </c>
    </row>
    <row r="264" spans="2:4" x14ac:dyDescent="0.2">
      <c r="D264" s="5" t="s">
        <v>744</v>
      </c>
    </row>
    <row r="265" spans="2:4" x14ac:dyDescent="0.2">
      <c r="B265" s="5" t="s">
        <v>790</v>
      </c>
    </row>
    <row r="266" spans="2:4" x14ac:dyDescent="0.2">
      <c r="D266" s="5" t="s">
        <v>703</v>
      </c>
    </row>
    <row r="267" spans="2:4" x14ac:dyDescent="0.2">
      <c r="D267" s="5" t="s">
        <v>704</v>
      </c>
    </row>
    <row r="268" spans="2:4" x14ac:dyDescent="0.2">
      <c r="D268" s="5" t="s">
        <v>705</v>
      </c>
    </row>
    <row r="269" spans="2:4" x14ac:dyDescent="0.2">
      <c r="D269" s="5" t="s">
        <v>743</v>
      </c>
    </row>
    <row r="270" spans="2:4" x14ac:dyDescent="0.2">
      <c r="D270" s="5" t="s">
        <v>744</v>
      </c>
    </row>
    <row r="271" spans="2:4" x14ac:dyDescent="0.2">
      <c r="B271" s="5" t="s">
        <v>791</v>
      </c>
    </row>
    <row r="272" spans="2:4" x14ac:dyDescent="0.2">
      <c r="D272" s="5" t="s">
        <v>703</v>
      </c>
    </row>
    <row r="273" spans="2:4" x14ac:dyDescent="0.2">
      <c r="D273" s="5" t="s">
        <v>704</v>
      </c>
    </row>
    <row r="274" spans="2:4" x14ac:dyDescent="0.2">
      <c r="D274" s="5" t="s">
        <v>705</v>
      </c>
    </row>
    <row r="275" spans="2:4" x14ac:dyDescent="0.2">
      <c r="D275" s="5" t="s">
        <v>743</v>
      </c>
    </row>
    <row r="276" spans="2:4" x14ac:dyDescent="0.2">
      <c r="D276" s="5" t="s">
        <v>744</v>
      </c>
    </row>
    <row r="277" spans="2:4" x14ac:dyDescent="0.2">
      <c r="B277" s="5" t="s">
        <v>792</v>
      </c>
    </row>
    <row r="278" spans="2:4" x14ac:dyDescent="0.2">
      <c r="D278" s="5" t="s">
        <v>703</v>
      </c>
    </row>
    <row r="279" spans="2:4" x14ac:dyDescent="0.2">
      <c r="D279" s="5" t="s">
        <v>704</v>
      </c>
    </row>
    <row r="280" spans="2:4" x14ac:dyDescent="0.2">
      <c r="D280" s="5" t="s">
        <v>705</v>
      </c>
    </row>
    <row r="281" spans="2:4" x14ac:dyDescent="0.2">
      <c r="D281" s="5" t="s">
        <v>781</v>
      </c>
    </row>
    <row r="282" spans="2:4" x14ac:dyDescent="0.2">
      <c r="D282" s="5" t="s">
        <v>782</v>
      </c>
    </row>
    <row r="283" spans="2:4" x14ac:dyDescent="0.2">
      <c r="B283" s="5" t="s">
        <v>793</v>
      </c>
    </row>
    <row r="284" spans="2:4" x14ac:dyDescent="0.2">
      <c r="D284" s="5" t="s">
        <v>703</v>
      </c>
    </row>
    <row r="285" spans="2:4" x14ac:dyDescent="0.2">
      <c r="D285" s="5" t="s">
        <v>704</v>
      </c>
    </row>
    <row r="286" spans="2:4" x14ac:dyDescent="0.2">
      <c r="D286" s="5" t="s">
        <v>705</v>
      </c>
    </row>
    <row r="287" spans="2:4" x14ac:dyDescent="0.2">
      <c r="D287" s="5" t="s">
        <v>794</v>
      </c>
    </row>
    <row r="288" spans="2:4" x14ac:dyDescent="0.2">
      <c r="D288" s="5" t="s">
        <v>795</v>
      </c>
    </row>
    <row r="289" spans="2:4" x14ac:dyDescent="0.2">
      <c r="B289" s="5" t="s">
        <v>796</v>
      </c>
    </row>
    <row r="290" spans="2:4" x14ac:dyDescent="0.2">
      <c r="D290" s="5" t="s">
        <v>703</v>
      </c>
    </row>
    <row r="291" spans="2:4" x14ac:dyDescent="0.2">
      <c r="D291" s="5" t="s">
        <v>704</v>
      </c>
    </row>
    <row r="292" spans="2:4" x14ac:dyDescent="0.2">
      <c r="D292" s="5" t="s">
        <v>705</v>
      </c>
    </row>
    <row r="293" spans="2:4" x14ac:dyDescent="0.2">
      <c r="D293" s="5" t="s">
        <v>743</v>
      </c>
    </row>
    <row r="294" spans="2:4" x14ac:dyDescent="0.2">
      <c r="D294" s="5" t="s">
        <v>744</v>
      </c>
    </row>
    <row r="295" spans="2:4" x14ac:dyDescent="0.2">
      <c r="B295" s="5" t="s">
        <v>797</v>
      </c>
    </row>
    <row r="296" spans="2:4" x14ac:dyDescent="0.2">
      <c r="D296" s="5" t="s">
        <v>703</v>
      </c>
    </row>
    <row r="297" spans="2:4" x14ac:dyDescent="0.2">
      <c r="D297" s="5" t="s">
        <v>704</v>
      </c>
    </row>
    <row r="298" spans="2:4" x14ac:dyDescent="0.2">
      <c r="D298" s="5" t="s">
        <v>705</v>
      </c>
    </row>
    <row r="299" spans="2:4" x14ac:dyDescent="0.2">
      <c r="D299" s="5" t="s">
        <v>743</v>
      </c>
    </row>
    <row r="300" spans="2:4" x14ac:dyDescent="0.2">
      <c r="D300" s="5" t="s">
        <v>744</v>
      </c>
    </row>
    <row r="301" spans="2:4" x14ac:dyDescent="0.2">
      <c r="B301" s="5" t="s">
        <v>798</v>
      </c>
    </row>
    <row r="302" spans="2:4" x14ac:dyDescent="0.2">
      <c r="D302" s="5" t="s">
        <v>703</v>
      </c>
    </row>
    <row r="303" spans="2:4" x14ac:dyDescent="0.2">
      <c r="D303" s="5" t="s">
        <v>704</v>
      </c>
    </row>
    <row r="304" spans="2:4" x14ac:dyDescent="0.2">
      <c r="D304" s="5" t="s">
        <v>705</v>
      </c>
    </row>
    <row r="305" spans="2:4" x14ac:dyDescent="0.2">
      <c r="D305" s="5" t="s">
        <v>743</v>
      </c>
    </row>
    <row r="306" spans="2:4" x14ac:dyDescent="0.2">
      <c r="D306" s="5" t="s">
        <v>744</v>
      </c>
    </row>
    <row r="307" spans="2:4" x14ac:dyDescent="0.2">
      <c r="B307" s="5" t="s">
        <v>799</v>
      </c>
    </row>
    <row r="308" spans="2:4" x14ac:dyDescent="0.2">
      <c r="D308" s="5" t="s">
        <v>703</v>
      </c>
    </row>
    <row r="309" spans="2:4" x14ac:dyDescent="0.2">
      <c r="D309" s="5" t="s">
        <v>704</v>
      </c>
    </row>
    <row r="310" spans="2:4" x14ac:dyDescent="0.2">
      <c r="D310" s="5" t="s">
        <v>705</v>
      </c>
    </row>
    <row r="311" spans="2:4" x14ac:dyDescent="0.2">
      <c r="D311" s="5" t="s">
        <v>800</v>
      </c>
    </row>
    <row r="312" spans="2:4" x14ac:dyDescent="0.2">
      <c r="D312" s="5" t="s">
        <v>801</v>
      </c>
    </row>
    <row r="313" spans="2:4" x14ac:dyDescent="0.2">
      <c r="B313" s="5" t="s">
        <v>802</v>
      </c>
    </row>
    <row r="314" spans="2:4" x14ac:dyDescent="0.2">
      <c r="D314" s="5" t="s">
        <v>703</v>
      </c>
    </row>
    <row r="315" spans="2:4" x14ac:dyDescent="0.2">
      <c r="D315" s="5" t="s">
        <v>704</v>
      </c>
    </row>
    <row r="316" spans="2:4" x14ac:dyDescent="0.2">
      <c r="D316" s="5" t="s">
        <v>705</v>
      </c>
    </row>
    <row r="317" spans="2:4" x14ac:dyDescent="0.2">
      <c r="D317" s="5" t="s">
        <v>800</v>
      </c>
    </row>
    <row r="318" spans="2:4" x14ac:dyDescent="0.2">
      <c r="D318" s="5" t="s">
        <v>801</v>
      </c>
    </row>
    <row r="319" spans="2:4" x14ac:dyDescent="0.2">
      <c r="B319" s="5" t="s">
        <v>803</v>
      </c>
    </row>
    <row r="320" spans="2:4" x14ac:dyDescent="0.2">
      <c r="D320" s="5" t="s">
        <v>703</v>
      </c>
    </row>
    <row r="321" spans="2:4" x14ac:dyDescent="0.2">
      <c r="D321" s="5" t="s">
        <v>704</v>
      </c>
    </row>
    <row r="322" spans="2:4" x14ac:dyDescent="0.2">
      <c r="D322" s="5" t="s">
        <v>705</v>
      </c>
    </row>
    <row r="323" spans="2:4" x14ac:dyDescent="0.2">
      <c r="D323" s="5" t="s">
        <v>727</v>
      </c>
    </row>
    <row r="324" spans="2:4" x14ac:dyDescent="0.2">
      <c r="D324" s="5" t="s">
        <v>728</v>
      </c>
    </row>
    <row r="325" spans="2:4" x14ac:dyDescent="0.2">
      <c r="B325" s="5" t="s">
        <v>804</v>
      </c>
    </row>
    <row r="326" spans="2:4" x14ac:dyDescent="0.2">
      <c r="D326" s="5" t="s">
        <v>703</v>
      </c>
    </row>
    <row r="327" spans="2:4" x14ac:dyDescent="0.2">
      <c r="D327" s="5" t="s">
        <v>704</v>
      </c>
    </row>
    <row r="328" spans="2:4" x14ac:dyDescent="0.2">
      <c r="D328" s="5" t="s">
        <v>705</v>
      </c>
    </row>
    <row r="329" spans="2:4" x14ac:dyDescent="0.2">
      <c r="D329" s="5" t="s">
        <v>752</v>
      </c>
    </row>
    <row r="330" spans="2:4" x14ac:dyDescent="0.2">
      <c r="D330" s="5" t="s">
        <v>753</v>
      </c>
    </row>
    <row r="331" spans="2:4" x14ac:dyDescent="0.2">
      <c r="B331" s="5" t="s">
        <v>805</v>
      </c>
    </row>
    <row r="332" spans="2:4" x14ac:dyDescent="0.2">
      <c r="D332" s="5" t="s">
        <v>703</v>
      </c>
    </row>
    <row r="333" spans="2:4" x14ac:dyDescent="0.2">
      <c r="D333" s="5" t="s">
        <v>704</v>
      </c>
    </row>
    <row r="334" spans="2:4" x14ac:dyDescent="0.2">
      <c r="D334" s="5" t="s">
        <v>705</v>
      </c>
    </row>
    <row r="335" spans="2:4" x14ac:dyDescent="0.2">
      <c r="D335" s="5" t="s">
        <v>755</v>
      </c>
    </row>
    <row r="336" spans="2:4" x14ac:dyDescent="0.2">
      <c r="D336" s="5" t="s">
        <v>756</v>
      </c>
    </row>
    <row r="337" spans="2:4" x14ac:dyDescent="0.2">
      <c r="B337" s="5" t="s">
        <v>806</v>
      </c>
    </row>
    <row r="338" spans="2:4" x14ac:dyDescent="0.2">
      <c r="D338" s="5" t="s">
        <v>703</v>
      </c>
    </row>
    <row r="339" spans="2:4" x14ac:dyDescent="0.2">
      <c r="D339" s="5" t="s">
        <v>704</v>
      </c>
    </row>
    <row r="340" spans="2:4" x14ac:dyDescent="0.2">
      <c r="D340" s="5" t="s">
        <v>705</v>
      </c>
    </row>
    <row r="341" spans="2:4" x14ac:dyDescent="0.2">
      <c r="D341" s="5" t="s">
        <v>755</v>
      </c>
    </row>
    <row r="342" spans="2:4" x14ac:dyDescent="0.2">
      <c r="D342" s="5" t="s">
        <v>756</v>
      </c>
    </row>
    <row r="343" spans="2:4" x14ac:dyDescent="0.2">
      <c r="B343" s="5" t="s">
        <v>807</v>
      </c>
    </row>
    <row r="344" spans="2:4" x14ac:dyDescent="0.2">
      <c r="D344" s="5" t="s">
        <v>703</v>
      </c>
    </row>
    <row r="345" spans="2:4" x14ac:dyDescent="0.2">
      <c r="D345" s="5" t="s">
        <v>704</v>
      </c>
    </row>
    <row r="346" spans="2:4" x14ac:dyDescent="0.2">
      <c r="D346" s="5" t="s">
        <v>705</v>
      </c>
    </row>
    <row r="347" spans="2:4" x14ac:dyDescent="0.2">
      <c r="D347" s="5" t="s">
        <v>755</v>
      </c>
    </row>
    <row r="348" spans="2:4" x14ac:dyDescent="0.2">
      <c r="D348" s="5" t="s">
        <v>756</v>
      </c>
    </row>
    <row r="349" spans="2:4" x14ac:dyDescent="0.2">
      <c r="B349" s="5" t="s">
        <v>808</v>
      </c>
    </row>
    <row r="350" spans="2:4" x14ac:dyDescent="0.2">
      <c r="D350" s="5" t="s">
        <v>703</v>
      </c>
    </row>
    <row r="351" spans="2:4" x14ac:dyDescent="0.2">
      <c r="D351" s="5" t="s">
        <v>704</v>
      </c>
    </row>
    <row r="352" spans="2:4" x14ac:dyDescent="0.2">
      <c r="D352" s="5" t="s">
        <v>705</v>
      </c>
    </row>
    <row r="353" spans="2:4" x14ac:dyDescent="0.2">
      <c r="D353" s="5" t="s">
        <v>771</v>
      </c>
    </row>
    <row r="354" spans="2:4" x14ac:dyDescent="0.2">
      <c r="D354" s="5" t="s">
        <v>772</v>
      </c>
    </row>
    <row r="355" spans="2:4" x14ac:dyDescent="0.2">
      <c r="B355" s="5" t="s">
        <v>809</v>
      </c>
    </row>
    <row r="356" spans="2:4" x14ac:dyDescent="0.2">
      <c r="D356" s="5" t="s">
        <v>703</v>
      </c>
    </row>
    <row r="357" spans="2:4" x14ac:dyDescent="0.2">
      <c r="D357" s="5" t="s">
        <v>704</v>
      </c>
    </row>
    <row r="358" spans="2:4" x14ac:dyDescent="0.2">
      <c r="D358" s="5" t="s">
        <v>705</v>
      </c>
    </row>
    <row r="359" spans="2:4" x14ac:dyDescent="0.2">
      <c r="D359" s="5" t="s">
        <v>771</v>
      </c>
    </row>
    <row r="360" spans="2:4" x14ac:dyDescent="0.2">
      <c r="D360" s="5" t="s">
        <v>772</v>
      </c>
    </row>
    <row r="361" spans="2:4" x14ac:dyDescent="0.2">
      <c r="B361" s="5" t="s">
        <v>810</v>
      </c>
    </row>
    <row r="362" spans="2:4" x14ac:dyDescent="0.2">
      <c r="D362" s="5" t="s">
        <v>703</v>
      </c>
    </row>
    <row r="363" spans="2:4" x14ac:dyDescent="0.2">
      <c r="D363" s="5" t="s">
        <v>704</v>
      </c>
    </row>
    <row r="364" spans="2:4" x14ac:dyDescent="0.2">
      <c r="D364" s="5" t="s">
        <v>705</v>
      </c>
    </row>
    <row r="365" spans="2:4" x14ac:dyDescent="0.2">
      <c r="D365" s="5" t="s">
        <v>743</v>
      </c>
    </row>
    <row r="366" spans="2:4" x14ac:dyDescent="0.2">
      <c r="D366" s="5" t="s">
        <v>744</v>
      </c>
    </row>
  </sheetData>
  <autoFilter ref="A18:H18"/>
  <conditionalFormatting sqref="C17">
    <cfRule type="cellIs" dxfId="175" priority="1" stopIfTrue="1" operator="equal">
      <formula>$B$10</formula>
    </cfRule>
    <cfRule type="cellIs" dxfId="174"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1"/>
  </sheetPr>
  <dimension ref="A1:H42"/>
  <sheetViews>
    <sheetView workbookViewId="0">
      <selection activeCell="E37" sqref="E37"/>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240</v>
      </c>
      <c r="C2" s="15">
        <f>IF(ISERROR(VALUE(TRIM(CLEAN(MID(C20,FIND("(",C20)+1,FIND("/",C20,1)-FIND("(",C20)-1))))),0,VALUE(TRIM(CLEAN(MID(C20,FIND("(",C20)+1,FIND("/",C20,1)-FIND("(",C20)-1)))))</f>
        <v>240</v>
      </c>
    </row>
    <row r="3" spans="1:5" ht="22.5" x14ac:dyDescent="0.2">
      <c r="A3" s="20" t="s">
        <v>15</v>
      </c>
      <c r="B3" s="21">
        <f>IF(ISERROR(VALUE(TRIM(CLEAN(MID(C21,FIND("/",C21)+1,FIND(")",C21,1)-FIND("/",C21)-1))))),0,VALUE(TRIM(CLEAN(MID(C21,FIND("/",C21)+1,FIND(")",C21,1)-FIND("/",C21)-1)))))</f>
        <v>6</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1275</v>
      </c>
      <c r="C4" s="16">
        <f>IF(ISERROR(VALUE(TRIM(CLEAN(MID(C23,FIND("(",C23)+1,FIND("/",C23,1)-FIND("(",C23)-1))))),0,VALUE(TRIM(CLEAN(MID(C23,FIND("(",C23)+1,FIND("/",C23,1)-FIND("(",C23)-1)))))</f>
        <v>1269</v>
      </c>
      <c r="E4" s="29" t="s">
        <v>2</v>
      </c>
    </row>
    <row r="5" spans="1:5" ht="22.5" x14ac:dyDescent="0.2">
      <c r="A5" s="20" t="s">
        <v>17</v>
      </c>
      <c r="B5" s="21">
        <f>IF(ISERROR(VALUE(TRIM(CLEAN(MID(C24,FIND("/",C24)+1,FIND(")",C24,1)-FIND("/",C24)-1))))),0,VALUE(TRIM(CLEAN(MID(C24,FIND("/",C24)+1,FIND(")",C24,1)-FIND("/",C24)-1)))))</f>
        <v>515</v>
      </c>
      <c r="C5" s="16">
        <f>IF(ISERROR(VALUE(TRIM(CLEAN(MID(C24,FIND("(",C24)+1,FIND("/",C24,1)-FIND("(",C24)-1))))),0,VALUE(TRIM(CLEAN(MID(C24,FIND("(",C24)+1,FIND("/",C24,1)-FIND("(",C24)-1)))))</f>
        <v>515</v>
      </c>
    </row>
    <row r="6" spans="1:5" x14ac:dyDescent="0.2">
      <c r="A6" s="20"/>
      <c r="B6" s="21"/>
      <c r="C6" s="16"/>
    </row>
    <row r="7" spans="1:5" ht="13.5" thickBot="1" x14ac:dyDescent="0.25">
      <c r="A7" s="22" t="s">
        <v>13</v>
      </c>
      <c r="B7" s="23">
        <f>SUM(B2:B5)</f>
        <v>2036</v>
      </c>
      <c r="C7" s="17">
        <f>SUM(C2:C5)</f>
        <v>2024</v>
      </c>
    </row>
    <row r="8" spans="1:5" x14ac:dyDescent="0.2">
      <c r="A8" s="12"/>
      <c r="B8" s="7"/>
      <c r="C8" s="7"/>
    </row>
    <row r="9" spans="1:5" ht="13.5" thickBot="1" x14ac:dyDescent="0.25">
      <c r="A9" s="10"/>
      <c r="B9" s="7"/>
      <c r="C9" s="7"/>
    </row>
    <row r="10" spans="1:5" ht="24" thickTop="1" thickBot="1" x14ac:dyDescent="0.25">
      <c r="A10" s="24" t="s">
        <v>18</v>
      </c>
      <c r="B10" s="26">
        <f>B7-C7</f>
        <v>12</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10</v>
      </c>
    </row>
    <row r="14" spans="1:5" ht="23.25" thickBot="1" x14ac:dyDescent="0.25">
      <c r="A14" s="25" t="s">
        <v>24</v>
      </c>
      <c r="B14" s="28"/>
      <c r="C14" s="28">
        <f t="shared" si="0"/>
        <v>0</v>
      </c>
    </row>
    <row r="15" spans="1:5" ht="13.5" thickBot="1" x14ac:dyDescent="0.25">
      <c r="A15" s="25" t="s">
        <v>19</v>
      </c>
      <c r="B15" s="28"/>
      <c r="C15" s="28">
        <f t="shared" si="0"/>
        <v>2</v>
      </c>
    </row>
    <row r="16" spans="1:5" ht="23.25" thickBot="1" x14ac:dyDescent="0.25">
      <c r="A16" s="25" t="s">
        <v>20</v>
      </c>
      <c r="B16" s="28"/>
      <c r="C16" s="28">
        <f t="shared" si="0"/>
        <v>0</v>
      </c>
    </row>
    <row r="17" spans="1:8" x14ac:dyDescent="0.2">
      <c r="C17" s="5">
        <f>SUM(C11:C16)</f>
        <v>12</v>
      </c>
    </row>
    <row r="18" spans="1:8" customFormat="1" ht="23.25" x14ac:dyDescent="0.25">
      <c r="A18" s="4" t="s">
        <v>3</v>
      </c>
      <c r="B18" s="6" t="s">
        <v>4</v>
      </c>
      <c r="C18" s="8" t="s">
        <v>6</v>
      </c>
      <c r="D18" s="8" t="s">
        <v>7</v>
      </c>
      <c r="E18" s="8" t="s">
        <v>5</v>
      </c>
      <c r="F18" s="3" t="s">
        <v>10</v>
      </c>
      <c r="G18" s="1" t="s">
        <v>9</v>
      </c>
      <c r="H18" s="2" t="s">
        <v>8</v>
      </c>
    </row>
    <row r="19" spans="1:8" x14ac:dyDescent="0.2">
      <c r="A19" s="5" t="s">
        <v>812</v>
      </c>
    </row>
    <row r="20" spans="1:8" x14ac:dyDescent="0.2">
      <c r="C20" s="5" t="s">
        <v>813</v>
      </c>
    </row>
    <row r="21" spans="1:8" x14ac:dyDescent="0.2">
      <c r="C21" s="5" t="s">
        <v>814</v>
      </c>
    </row>
    <row r="22" spans="1:8" x14ac:dyDescent="0.2">
      <c r="C22" s="5" t="s">
        <v>815</v>
      </c>
    </row>
    <row r="23" spans="1:8" x14ac:dyDescent="0.2">
      <c r="C23" s="5" t="s">
        <v>816</v>
      </c>
    </row>
    <row r="24" spans="1:8" x14ac:dyDescent="0.2">
      <c r="C24" s="5" t="s">
        <v>817</v>
      </c>
    </row>
    <row r="25" spans="1:8" x14ac:dyDescent="0.2">
      <c r="B25" s="5" t="s">
        <v>818</v>
      </c>
    </row>
    <row r="26" spans="1:8" x14ac:dyDescent="0.2">
      <c r="D26" s="5" t="s">
        <v>813</v>
      </c>
    </row>
    <row r="27" spans="1:8" x14ac:dyDescent="0.2">
      <c r="D27" s="5" t="s">
        <v>814</v>
      </c>
    </row>
    <row r="28" spans="1:8" x14ac:dyDescent="0.2">
      <c r="E28" s="5" t="s">
        <v>819</v>
      </c>
      <c r="F28" s="5">
        <v>691</v>
      </c>
      <c r="G28" s="5" t="s">
        <v>23</v>
      </c>
      <c r="H28" s="5" t="s">
        <v>1923</v>
      </c>
    </row>
    <row r="29" spans="1:8" x14ac:dyDescent="0.2">
      <c r="E29" s="5" t="s">
        <v>820</v>
      </c>
      <c r="F29" s="5">
        <v>1058</v>
      </c>
      <c r="G29" s="5" t="s">
        <v>23</v>
      </c>
      <c r="H29" s="5" t="s">
        <v>1923</v>
      </c>
    </row>
    <row r="30" spans="1:8" x14ac:dyDescent="0.2">
      <c r="E30" s="5" t="s">
        <v>821</v>
      </c>
      <c r="F30" s="5">
        <v>1517</v>
      </c>
      <c r="G30" s="5" t="s">
        <v>23</v>
      </c>
      <c r="H30" s="5" t="s">
        <v>1923</v>
      </c>
    </row>
    <row r="31" spans="1:8" x14ac:dyDescent="0.2">
      <c r="E31" s="5" t="s">
        <v>822</v>
      </c>
      <c r="F31" s="5">
        <v>1958</v>
      </c>
      <c r="G31" s="5" t="s">
        <v>23</v>
      </c>
      <c r="H31" s="5" t="s">
        <v>1923</v>
      </c>
    </row>
    <row r="32" spans="1:8" x14ac:dyDescent="0.2">
      <c r="E32" s="5" t="s">
        <v>823</v>
      </c>
      <c r="F32" s="5">
        <v>2375</v>
      </c>
      <c r="G32" s="5" t="s">
        <v>23</v>
      </c>
      <c r="H32" s="5" t="s">
        <v>1923</v>
      </c>
    </row>
    <row r="33" spans="4:8" x14ac:dyDescent="0.2">
      <c r="E33" s="5" t="s">
        <v>824</v>
      </c>
      <c r="F33" s="5">
        <v>2470</v>
      </c>
      <c r="G33" s="5" t="s">
        <v>19</v>
      </c>
      <c r="H33" s="5" t="s">
        <v>1924</v>
      </c>
    </row>
    <row r="34" spans="4:8" x14ac:dyDescent="0.2">
      <c r="D34" s="5" t="s">
        <v>815</v>
      </c>
    </row>
    <row r="35" spans="4:8" x14ac:dyDescent="0.2">
      <c r="D35" s="5" t="s">
        <v>816</v>
      </c>
    </row>
    <row r="36" spans="4:8" x14ac:dyDescent="0.2">
      <c r="E36" s="5" t="s">
        <v>825</v>
      </c>
      <c r="F36" s="5">
        <v>662</v>
      </c>
      <c r="G36" s="5" t="s">
        <v>23</v>
      </c>
      <c r="H36" s="5" t="s">
        <v>1923</v>
      </c>
    </row>
    <row r="37" spans="4:8" x14ac:dyDescent="0.2">
      <c r="E37" s="5" t="s">
        <v>826</v>
      </c>
      <c r="F37" s="5">
        <v>1039</v>
      </c>
      <c r="G37" s="5" t="s">
        <v>23</v>
      </c>
      <c r="H37" s="5" t="s">
        <v>1923</v>
      </c>
    </row>
    <row r="38" spans="4:8" x14ac:dyDescent="0.2">
      <c r="E38" s="5" t="s">
        <v>827</v>
      </c>
      <c r="F38" s="5">
        <v>1498</v>
      </c>
      <c r="G38" s="5" t="s">
        <v>23</v>
      </c>
      <c r="H38" s="5" t="s">
        <v>1923</v>
      </c>
    </row>
    <row r="39" spans="4:8" x14ac:dyDescent="0.2">
      <c r="E39" s="5" t="s">
        <v>828</v>
      </c>
      <c r="F39" s="5">
        <v>1939</v>
      </c>
      <c r="G39" s="5" t="s">
        <v>23</v>
      </c>
      <c r="H39" s="5" t="s">
        <v>1923</v>
      </c>
    </row>
    <row r="40" spans="4:8" x14ac:dyDescent="0.2">
      <c r="E40" s="5" t="s">
        <v>829</v>
      </c>
      <c r="F40" s="5">
        <v>2356</v>
      </c>
      <c r="G40" s="5" t="s">
        <v>23</v>
      </c>
      <c r="H40" s="5" t="s">
        <v>1923</v>
      </c>
    </row>
    <row r="41" spans="4:8" x14ac:dyDescent="0.2">
      <c r="E41" s="5" t="s">
        <v>830</v>
      </c>
      <c r="F41" s="5">
        <v>2433</v>
      </c>
      <c r="G41" s="5" t="s">
        <v>19</v>
      </c>
      <c r="H41" s="5" t="s">
        <v>1924</v>
      </c>
    </row>
    <row r="42" spans="4:8" x14ac:dyDescent="0.2">
      <c r="D42" s="5" t="s">
        <v>817</v>
      </c>
    </row>
  </sheetData>
  <autoFilter ref="A18:H18"/>
  <conditionalFormatting sqref="C17">
    <cfRule type="cellIs" dxfId="173" priority="1" stopIfTrue="1" operator="equal">
      <formula>$B$10</formula>
    </cfRule>
    <cfRule type="cellIs" dxfId="172"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12</v>
      </c>
      <c r="C2" s="15">
        <f>IF(ISERROR(VALUE(TRIM(CLEAN(MID(C20,FIND("(",C20)+1,FIND("/",C20,1)-FIND("(",C20)-1))))),0,VALUE(TRIM(CLEAN(MID(C20,FIND("(",C20)+1,FIND("/",C20,1)-FIND("(",C20)-1)))))</f>
        <v>12</v>
      </c>
    </row>
    <row r="3" spans="1:5" ht="22.5" x14ac:dyDescent="0.2">
      <c r="A3" s="20" t="s">
        <v>15</v>
      </c>
      <c r="B3" s="21">
        <f>IF(ISERROR(VALUE(TRIM(CLEAN(MID(C21,FIND("/",C21)+1,FIND(")",C21,1)-FIND("/",C21)-1))))),0,VALUE(TRIM(CLEAN(MID(C21,FIND("/",C21)+1,FIND(")",C21,1)-FIND("/",C21)-1)))))</f>
        <v>2</v>
      </c>
      <c r="C3" s="16">
        <f>IF(ISERROR(VALUE(TRIM(CLEAN(MID(C21,FIND("(",C21)+1,FIND("/",C21,1)-FIND("(",C21)-1))))),0,VALUE(TRIM(CLEAN(MID(C21,FIND("(",C21)+1,FIND("/",C21,1)-FIND("(",C21)-1)))))</f>
        <v>2</v>
      </c>
      <c r="E3" s="29" t="s">
        <v>1</v>
      </c>
    </row>
    <row r="4" spans="1:5" ht="22.5" x14ac:dyDescent="0.2">
      <c r="A4" s="20" t="s">
        <v>16</v>
      </c>
      <c r="B4" s="21">
        <f>IF(ISERROR(VALUE(TRIM(CLEAN(MID(C23,FIND("/",C23)+1,FIND(")",C23,1)-FIND("/",C23)-1))))),0,VALUE(TRIM(CLEAN(MID(C23,FIND("/",C23)+1,FIND(")",C23,1)-FIND("/",C23)-1)))))</f>
        <v>18</v>
      </c>
      <c r="C4" s="16">
        <f>IF(ISERROR(VALUE(TRIM(CLEAN(MID(C23,FIND("(",C23)+1,FIND("/",C23,1)-FIND("(",C23)-1))))),0,VALUE(TRIM(CLEAN(MID(C23,FIND("(",C23)+1,FIND("/",C23,1)-FIND("(",C23)-1)))))</f>
        <v>18</v>
      </c>
      <c r="E4" s="29" t="s">
        <v>2</v>
      </c>
    </row>
    <row r="5" spans="1:5" ht="22.5" x14ac:dyDescent="0.2">
      <c r="A5" s="20" t="s">
        <v>17</v>
      </c>
      <c r="B5" s="21">
        <f>IF(ISERROR(VALUE(TRIM(CLEAN(MID(C24,FIND("/",C24)+1,FIND(")",C24,1)-FIND("/",C24)-1))))),0,VALUE(TRIM(CLEAN(MID(C24,FIND("/",C24)+1,FIND(")",C24,1)-FIND("/",C24)-1)))))</f>
        <v>3</v>
      </c>
      <c r="C5" s="16">
        <f>IF(ISERROR(VALUE(TRIM(CLEAN(MID(C24,FIND("(",C24)+1,FIND("/",C24,1)-FIND("(",C24)-1))))),0,VALUE(TRIM(CLEAN(MID(C24,FIND("(",C24)+1,FIND("/",C24,1)-FIND("(",C24)-1)))))</f>
        <v>3</v>
      </c>
    </row>
    <row r="6" spans="1:5" x14ac:dyDescent="0.2">
      <c r="A6" s="20"/>
      <c r="B6" s="21"/>
      <c r="C6" s="16"/>
    </row>
    <row r="7" spans="1:5" ht="13.5" thickBot="1" x14ac:dyDescent="0.25">
      <c r="A7" s="22" t="s">
        <v>13</v>
      </c>
      <c r="B7" s="23">
        <f>SUM(B2:B5)</f>
        <v>35</v>
      </c>
      <c r="C7" s="17">
        <f>SUM(C2:C5)</f>
        <v>35</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832</v>
      </c>
    </row>
    <row r="20" spans="1:8" x14ac:dyDescent="0.2">
      <c r="C20" s="5" t="s">
        <v>833</v>
      </c>
    </row>
    <row r="21" spans="1:8" x14ac:dyDescent="0.2">
      <c r="C21" s="5" t="s">
        <v>834</v>
      </c>
    </row>
    <row r="22" spans="1:8" x14ac:dyDescent="0.2">
      <c r="C22" s="5" t="s">
        <v>835</v>
      </c>
    </row>
    <row r="23" spans="1:8" x14ac:dyDescent="0.2">
      <c r="C23" s="5" t="s">
        <v>781</v>
      </c>
    </row>
    <row r="24" spans="1:8" x14ac:dyDescent="0.2">
      <c r="C24" s="5" t="s">
        <v>728</v>
      </c>
    </row>
    <row r="25" spans="1:8" x14ac:dyDescent="0.2">
      <c r="B25" s="5" t="s">
        <v>836</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837</v>
      </c>
    </row>
    <row r="32" spans="1:8" x14ac:dyDescent="0.2">
      <c r="D32" s="5" t="s">
        <v>838</v>
      </c>
    </row>
    <row r="33" spans="4:4" x14ac:dyDescent="0.2">
      <c r="D33" s="5" t="s">
        <v>834</v>
      </c>
    </row>
    <row r="34" spans="4:4" x14ac:dyDescent="0.2">
      <c r="D34" s="5" t="s">
        <v>839</v>
      </c>
    </row>
    <row r="35" spans="4:4" x14ac:dyDescent="0.2">
      <c r="D35" s="5" t="s">
        <v>781</v>
      </c>
    </row>
    <row r="36" spans="4:4" x14ac:dyDescent="0.2">
      <c r="D36" s="5" t="s">
        <v>728</v>
      </c>
    </row>
  </sheetData>
  <autoFilter ref="A18:H18"/>
  <conditionalFormatting sqref="C17">
    <cfRule type="cellIs" dxfId="171" priority="1" stopIfTrue="1" operator="equal">
      <formula>$B$10</formula>
    </cfRule>
    <cfRule type="cellIs" dxfId="170"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H52"/>
  <sheetViews>
    <sheetView topLeftCell="A7" workbookViewId="0">
      <selection activeCell="F45" sqref="F45:H51"/>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22</v>
      </c>
      <c r="C2" s="15">
        <f>IF(ISERROR(VALUE(TRIM(CLEAN(MID(C20,FIND("(",C20)+1,FIND("/",C20,1)-FIND("(",C20)-1))))),0,VALUE(TRIM(CLEAN(MID(C20,FIND("(",C20)+1,FIND("/",C20,1)-FIND("(",C20)-1)))))</f>
        <v>20</v>
      </c>
    </row>
    <row r="3" spans="1:5" ht="22.5" x14ac:dyDescent="0.2">
      <c r="A3" s="20" t="s">
        <v>15</v>
      </c>
      <c r="B3" s="21">
        <f>IF(ISERROR(VALUE(TRIM(CLEAN(MID(C21,FIND("/",C21)+1,FIND(")",C21,1)-FIND("/",C21)-1))))),0,VALUE(TRIM(CLEAN(MID(C21,FIND("/",C21)+1,FIND(")",C21,1)-FIND("/",C21)-1)))))</f>
        <v>2</v>
      </c>
      <c r="C3" s="16">
        <f>IF(ISERROR(VALUE(TRIM(CLEAN(MID(C21,FIND("(",C21)+1,FIND("/",C21,1)-FIND("(",C21)-1))))),0,VALUE(TRIM(CLEAN(MID(C21,FIND("(",C21)+1,FIND("/",C21,1)-FIND("(",C21)-1)))))</f>
        <v>2</v>
      </c>
      <c r="E3" s="29" t="s">
        <v>1</v>
      </c>
    </row>
    <row r="4" spans="1:5" ht="22.5" x14ac:dyDescent="0.2">
      <c r="A4" s="20" t="s">
        <v>16</v>
      </c>
      <c r="B4" s="21">
        <f>IF(ISERROR(VALUE(TRIM(CLEAN(MID(C23,FIND("/",C23)+1,FIND(")",C23,1)-FIND("/",C23)-1))))),0,VALUE(TRIM(CLEAN(MID(C23,FIND("/",C23)+1,FIND(")",C23,1)-FIND("/",C23)-1)))))</f>
        <v>48</v>
      </c>
      <c r="C4" s="16">
        <f>IF(ISERROR(VALUE(TRIM(CLEAN(MID(C23,FIND("(",C23)+1,FIND("/",C23,1)-FIND("(",C23)-1))))),0,VALUE(TRIM(CLEAN(MID(C23,FIND("(",C23)+1,FIND("/",C23,1)-FIND("(",C23)-1)))))</f>
        <v>46</v>
      </c>
      <c r="E4" s="29" t="s">
        <v>2</v>
      </c>
    </row>
    <row r="5" spans="1:5" ht="22.5" x14ac:dyDescent="0.2">
      <c r="A5" s="20" t="s">
        <v>17</v>
      </c>
      <c r="B5" s="21">
        <f>IF(ISERROR(VALUE(TRIM(CLEAN(MID(C24,FIND("/",C24)+1,FIND(")",C24,1)-FIND("/",C24)-1))))),0,VALUE(TRIM(CLEAN(MID(C24,FIND("/",C24)+1,FIND(")",C24,1)-FIND("/",C24)-1)))))</f>
        <v>14</v>
      </c>
      <c r="C5" s="16">
        <f>IF(ISERROR(VALUE(TRIM(CLEAN(MID(C24,FIND("(",C24)+1,FIND("/",C24,1)-FIND("(",C24)-1))))),0,VALUE(TRIM(CLEAN(MID(C24,FIND("(",C24)+1,FIND("/",C24,1)-FIND("(",C24)-1)))))</f>
        <v>14</v>
      </c>
    </row>
    <row r="6" spans="1:5" x14ac:dyDescent="0.2">
      <c r="A6" s="20"/>
      <c r="B6" s="21"/>
      <c r="C6" s="16"/>
    </row>
    <row r="7" spans="1:5" ht="13.5" thickBot="1" x14ac:dyDescent="0.25">
      <c r="A7" s="22" t="s">
        <v>13</v>
      </c>
      <c r="B7" s="23">
        <f>SUM(B2:B5)</f>
        <v>86</v>
      </c>
      <c r="C7" s="17">
        <f>SUM(C2:C5)</f>
        <v>82</v>
      </c>
    </row>
    <row r="8" spans="1:5" x14ac:dyDescent="0.2">
      <c r="A8" s="12"/>
      <c r="B8" s="7"/>
      <c r="C8" s="7"/>
    </row>
    <row r="9" spans="1:5" ht="13.5" thickBot="1" x14ac:dyDescent="0.25">
      <c r="A9" s="10"/>
      <c r="B9" s="7"/>
      <c r="C9" s="7"/>
    </row>
    <row r="10" spans="1:5" ht="24" thickTop="1" thickBot="1" x14ac:dyDescent="0.25">
      <c r="A10" s="24" t="s">
        <v>18</v>
      </c>
      <c r="B10" s="26">
        <f>B7-C7</f>
        <v>4</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4</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4</v>
      </c>
    </row>
    <row r="18" spans="1:8" customFormat="1" ht="23.25" x14ac:dyDescent="0.25">
      <c r="A18" s="4" t="s">
        <v>3</v>
      </c>
      <c r="B18" s="6" t="s">
        <v>4</v>
      </c>
      <c r="C18" s="8" t="s">
        <v>6</v>
      </c>
      <c r="D18" s="8" t="s">
        <v>7</v>
      </c>
      <c r="E18" s="8" t="s">
        <v>5</v>
      </c>
      <c r="F18" s="3" t="s">
        <v>10</v>
      </c>
      <c r="G18" s="1" t="s">
        <v>9</v>
      </c>
      <c r="H18" s="2" t="s">
        <v>8</v>
      </c>
    </row>
    <row r="19" spans="1:8" x14ac:dyDescent="0.2">
      <c r="A19" s="5" t="s">
        <v>841</v>
      </c>
    </row>
    <row r="20" spans="1:8" x14ac:dyDescent="0.2">
      <c r="C20" s="5" t="s">
        <v>842</v>
      </c>
    </row>
    <row r="21" spans="1:8" x14ac:dyDescent="0.2">
      <c r="C21" s="5" t="s">
        <v>834</v>
      </c>
    </row>
    <row r="22" spans="1:8" x14ac:dyDescent="0.2">
      <c r="C22" s="5" t="s">
        <v>843</v>
      </c>
    </row>
    <row r="23" spans="1:8" x14ac:dyDescent="0.2">
      <c r="C23" s="5" t="s">
        <v>844</v>
      </c>
    </row>
    <row r="24" spans="1:8" x14ac:dyDescent="0.2">
      <c r="C24" s="5" t="s">
        <v>845</v>
      </c>
    </row>
    <row r="25" spans="1:8" x14ac:dyDescent="0.2">
      <c r="B25" s="5" t="s">
        <v>846</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847</v>
      </c>
    </row>
    <row r="32" spans="1:8" x14ac:dyDescent="0.2">
      <c r="D32" s="5" t="s">
        <v>703</v>
      </c>
    </row>
    <row r="33" spans="2:8" x14ac:dyDescent="0.2">
      <c r="D33" s="5" t="s">
        <v>704</v>
      </c>
    </row>
    <row r="34" spans="2:8" x14ac:dyDescent="0.2">
      <c r="D34" s="5" t="s">
        <v>705</v>
      </c>
    </row>
    <row r="35" spans="2:8" x14ac:dyDescent="0.2">
      <c r="D35" s="5" t="s">
        <v>711</v>
      </c>
    </row>
    <row r="36" spans="2:8" x14ac:dyDescent="0.2">
      <c r="D36" s="5" t="s">
        <v>712</v>
      </c>
    </row>
    <row r="37" spans="2:8" x14ac:dyDescent="0.2">
      <c r="B37" s="5" t="s">
        <v>848</v>
      </c>
    </row>
    <row r="38" spans="2:8" x14ac:dyDescent="0.2">
      <c r="D38" s="5" t="s">
        <v>703</v>
      </c>
    </row>
    <row r="39" spans="2:8" x14ac:dyDescent="0.2">
      <c r="D39" s="5" t="s">
        <v>704</v>
      </c>
    </row>
    <row r="40" spans="2:8" x14ac:dyDescent="0.2">
      <c r="D40" s="5" t="s">
        <v>705</v>
      </c>
    </row>
    <row r="41" spans="2:8" x14ac:dyDescent="0.2">
      <c r="D41" s="5" t="s">
        <v>711</v>
      </c>
    </row>
    <row r="42" spans="2:8" x14ac:dyDescent="0.2">
      <c r="D42" s="5" t="s">
        <v>712</v>
      </c>
    </row>
    <row r="43" spans="2:8" x14ac:dyDescent="0.2">
      <c r="B43" s="5" t="s">
        <v>849</v>
      </c>
    </row>
    <row r="44" spans="2:8" x14ac:dyDescent="0.2">
      <c r="D44" s="5" t="s">
        <v>850</v>
      </c>
    </row>
    <row r="45" spans="2:8" x14ac:dyDescent="0.2">
      <c r="E45" s="5" t="s">
        <v>851</v>
      </c>
      <c r="F45" s="5">
        <v>250</v>
      </c>
      <c r="G45" s="5" t="s">
        <v>23</v>
      </c>
      <c r="H45" s="5" t="s">
        <v>1925</v>
      </c>
    </row>
    <row r="46" spans="2:8" x14ac:dyDescent="0.2">
      <c r="E46" s="5" t="s">
        <v>852</v>
      </c>
      <c r="F46" s="5">
        <v>325</v>
      </c>
      <c r="G46" s="5" t="s">
        <v>23</v>
      </c>
      <c r="H46" s="5" t="s">
        <v>1925</v>
      </c>
    </row>
    <row r="47" spans="2:8" x14ac:dyDescent="0.2">
      <c r="D47" s="5" t="s">
        <v>834</v>
      </c>
    </row>
    <row r="48" spans="2:8" x14ac:dyDescent="0.2">
      <c r="D48" s="5" t="s">
        <v>853</v>
      </c>
    </row>
    <row r="49" spans="4:8" x14ac:dyDescent="0.2">
      <c r="D49" s="5" t="s">
        <v>844</v>
      </c>
    </row>
    <row r="50" spans="4:8" x14ac:dyDescent="0.2">
      <c r="E50" s="5" t="s">
        <v>854</v>
      </c>
      <c r="F50" s="5">
        <v>250</v>
      </c>
      <c r="G50" s="5" t="s">
        <v>23</v>
      </c>
      <c r="H50" s="5" t="s">
        <v>1925</v>
      </c>
    </row>
    <row r="51" spans="4:8" x14ac:dyDescent="0.2">
      <c r="E51" s="5" t="s">
        <v>855</v>
      </c>
      <c r="F51" s="5">
        <v>325</v>
      </c>
      <c r="G51" s="5" t="s">
        <v>23</v>
      </c>
      <c r="H51" s="5" t="s">
        <v>1925</v>
      </c>
    </row>
    <row r="52" spans="4:8" x14ac:dyDescent="0.2">
      <c r="D52" s="5" t="s">
        <v>845</v>
      </c>
    </row>
  </sheetData>
  <autoFilter ref="A18:H18"/>
  <conditionalFormatting sqref="C17">
    <cfRule type="cellIs" dxfId="169" priority="1" stopIfTrue="1" operator="equal">
      <formula>$B$10</formula>
    </cfRule>
    <cfRule type="cellIs" dxfId="168"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indexed="11"/>
  </sheetPr>
  <dimension ref="A1:H72"/>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39</v>
      </c>
      <c r="C2" s="15">
        <f>IF(ISERROR(VALUE(TRIM(CLEAN(MID(C20,FIND("(",C20)+1,FIND("/",C20,1)-FIND("(",C20)-1))))),0,VALUE(TRIM(CLEAN(MID(C20,FIND("(",C20)+1,FIND("/",C20,1)-FIND("(",C20)-1)))))</f>
        <v>39</v>
      </c>
    </row>
    <row r="3" spans="1:5" ht="22.5" x14ac:dyDescent="0.2">
      <c r="A3" s="20" t="s">
        <v>15</v>
      </c>
      <c r="B3" s="21">
        <f>IF(ISERROR(VALUE(TRIM(CLEAN(MID(C21,FIND("/",C21)+1,FIND(")",C21,1)-FIND("/",C21)-1))))),0,VALUE(TRIM(CLEAN(MID(C21,FIND("/",C21)+1,FIND(")",C21,1)-FIND("/",C21)-1)))))</f>
        <v>1</v>
      </c>
      <c r="C3" s="16">
        <f>IF(ISERROR(VALUE(TRIM(CLEAN(MID(C21,FIND("(",C21)+1,FIND("/",C21,1)-FIND("(",C21)-1))))),0,VALUE(TRIM(CLEAN(MID(C21,FIND("(",C21)+1,FIND("/",C21,1)-FIND("(",C21)-1)))))</f>
        <v>1</v>
      </c>
      <c r="E3" s="29" t="s">
        <v>1</v>
      </c>
    </row>
    <row r="4" spans="1:5" ht="22.5" x14ac:dyDescent="0.2">
      <c r="A4" s="20" t="s">
        <v>16</v>
      </c>
      <c r="B4" s="21">
        <f>IF(ISERROR(VALUE(TRIM(CLEAN(MID(C23,FIND("/",C23)+1,FIND(")",C23,1)-FIND("/",C23)-1))))),0,VALUE(TRIM(CLEAN(MID(C23,FIND("/",C23)+1,FIND(")",C23,1)-FIND("/",C23)-1)))))</f>
        <v>100</v>
      </c>
      <c r="C4" s="16">
        <f>IF(ISERROR(VALUE(TRIM(CLEAN(MID(C23,FIND("(",C23)+1,FIND("/",C23,1)-FIND("(",C23)-1))))),0,VALUE(TRIM(CLEAN(MID(C23,FIND("(",C23)+1,FIND("/",C23,1)-FIND("(",C23)-1)))))</f>
        <v>100</v>
      </c>
      <c r="E4" s="29" t="s">
        <v>2</v>
      </c>
    </row>
    <row r="5" spans="1:5" ht="22.5" x14ac:dyDescent="0.2">
      <c r="A5" s="20" t="s">
        <v>17</v>
      </c>
      <c r="B5" s="21">
        <f>IF(ISERROR(VALUE(TRIM(CLEAN(MID(C24,FIND("/",C24)+1,FIND(")",C24,1)-FIND("/",C24)-1))))),0,VALUE(TRIM(CLEAN(MID(C24,FIND("/",C24)+1,FIND(")",C24,1)-FIND("/",C24)-1)))))</f>
        <v>44</v>
      </c>
      <c r="C5" s="16">
        <f>IF(ISERROR(VALUE(TRIM(CLEAN(MID(C24,FIND("(",C24)+1,FIND("/",C24,1)-FIND("(",C24)-1))))),0,VALUE(TRIM(CLEAN(MID(C24,FIND("(",C24)+1,FIND("/",C24,1)-FIND("(",C24)-1)))))</f>
        <v>44</v>
      </c>
    </row>
    <row r="6" spans="1:5" x14ac:dyDescent="0.2">
      <c r="A6" s="20"/>
      <c r="B6" s="21"/>
      <c r="C6" s="16"/>
    </row>
    <row r="7" spans="1:5" ht="13.5" thickBot="1" x14ac:dyDescent="0.25">
      <c r="A7" s="22" t="s">
        <v>13</v>
      </c>
      <c r="B7" s="23">
        <f>SUM(B2:B5)</f>
        <v>184</v>
      </c>
      <c r="C7" s="17">
        <f>SUM(C2:C5)</f>
        <v>184</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857</v>
      </c>
    </row>
    <row r="20" spans="1:8" x14ac:dyDescent="0.2">
      <c r="C20" s="5" t="s">
        <v>858</v>
      </c>
    </row>
    <row r="21" spans="1:8" x14ac:dyDescent="0.2">
      <c r="C21" s="5" t="s">
        <v>859</v>
      </c>
    </row>
    <row r="22" spans="1:8" x14ac:dyDescent="0.2">
      <c r="C22" s="5" t="s">
        <v>860</v>
      </c>
    </row>
    <row r="23" spans="1:8" x14ac:dyDescent="0.2">
      <c r="C23" s="5" t="s">
        <v>861</v>
      </c>
    </row>
    <row r="24" spans="1:8" x14ac:dyDescent="0.2">
      <c r="C24" s="5" t="s">
        <v>862</v>
      </c>
    </row>
    <row r="25" spans="1:8" x14ac:dyDescent="0.2">
      <c r="B25" s="5" t="s">
        <v>863</v>
      </c>
    </row>
    <row r="26" spans="1:8" x14ac:dyDescent="0.2">
      <c r="D26" s="5" t="s">
        <v>864</v>
      </c>
    </row>
    <row r="27" spans="1:8" x14ac:dyDescent="0.2">
      <c r="D27" s="5" t="s">
        <v>704</v>
      </c>
    </row>
    <row r="28" spans="1:8" x14ac:dyDescent="0.2">
      <c r="D28" s="5" t="s">
        <v>865</v>
      </c>
    </row>
    <row r="29" spans="1:8" x14ac:dyDescent="0.2">
      <c r="D29" s="5" t="s">
        <v>794</v>
      </c>
    </row>
    <row r="30" spans="1:8" x14ac:dyDescent="0.2">
      <c r="D30" s="5" t="s">
        <v>795</v>
      </c>
    </row>
    <row r="31" spans="1:8" x14ac:dyDescent="0.2">
      <c r="B31" s="5" t="s">
        <v>866</v>
      </c>
    </row>
    <row r="32" spans="1:8" x14ac:dyDescent="0.2">
      <c r="D32" s="5" t="s">
        <v>864</v>
      </c>
    </row>
    <row r="33" spans="2:4" x14ac:dyDescent="0.2">
      <c r="D33" s="5" t="s">
        <v>704</v>
      </c>
    </row>
    <row r="34" spans="2:4" x14ac:dyDescent="0.2">
      <c r="D34" s="5" t="s">
        <v>865</v>
      </c>
    </row>
    <row r="35" spans="2:4" x14ac:dyDescent="0.2">
      <c r="D35" s="5" t="s">
        <v>794</v>
      </c>
    </row>
    <row r="36" spans="2:4" x14ac:dyDescent="0.2">
      <c r="D36" s="5" t="s">
        <v>795</v>
      </c>
    </row>
    <row r="37" spans="2:4" x14ac:dyDescent="0.2">
      <c r="B37" s="5" t="s">
        <v>867</v>
      </c>
    </row>
    <row r="38" spans="2:4" x14ac:dyDescent="0.2">
      <c r="D38" s="5" t="s">
        <v>864</v>
      </c>
    </row>
    <row r="39" spans="2:4" x14ac:dyDescent="0.2">
      <c r="D39" s="5" t="s">
        <v>704</v>
      </c>
    </row>
    <row r="40" spans="2:4" x14ac:dyDescent="0.2">
      <c r="D40" s="5" t="s">
        <v>865</v>
      </c>
    </row>
    <row r="41" spans="2:4" x14ac:dyDescent="0.2">
      <c r="D41" s="5" t="s">
        <v>743</v>
      </c>
    </row>
    <row r="42" spans="2:4" x14ac:dyDescent="0.2">
      <c r="D42" s="5" t="s">
        <v>744</v>
      </c>
    </row>
    <row r="43" spans="2:4" x14ac:dyDescent="0.2">
      <c r="B43" s="5" t="s">
        <v>868</v>
      </c>
    </row>
    <row r="44" spans="2:4" x14ac:dyDescent="0.2">
      <c r="D44" s="5" t="s">
        <v>864</v>
      </c>
    </row>
    <row r="45" spans="2:4" x14ac:dyDescent="0.2">
      <c r="D45" s="5" t="s">
        <v>704</v>
      </c>
    </row>
    <row r="46" spans="2:4" x14ac:dyDescent="0.2">
      <c r="D46" s="5" t="s">
        <v>865</v>
      </c>
    </row>
    <row r="47" spans="2:4" x14ac:dyDescent="0.2">
      <c r="D47" s="5" t="s">
        <v>743</v>
      </c>
    </row>
    <row r="48" spans="2:4" x14ac:dyDescent="0.2">
      <c r="D48" s="5" t="s">
        <v>744</v>
      </c>
    </row>
    <row r="49" spans="2:4" x14ac:dyDescent="0.2">
      <c r="B49" s="5" t="s">
        <v>869</v>
      </c>
    </row>
    <row r="50" spans="2:4" x14ac:dyDescent="0.2">
      <c r="D50" s="5" t="s">
        <v>703</v>
      </c>
    </row>
    <row r="51" spans="2:4" x14ac:dyDescent="0.2">
      <c r="D51" s="5" t="s">
        <v>704</v>
      </c>
    </row>
    <row r="52" spans="2:4" x14ac:dyDescent="0.2">
      <c r="D52" s="5" t="s">
        <v>705</v>
      </c>
    </row>
    <row r="53" spans="2:4" x14ac:dyDescent="0.2">
      <c r="D53" s="5" t="s">
        <v>711</v>
      </c>
    </row>
    <row r="54" spans="2:4" x14ac:dyDescent="0.2">
      <c r="D54" s="5" t="s">
        <v>712</v>
      </c>
    </row>
    <row r="55" spans="2:4" x14ac:dyDescent="0.2">
      <c r="B55" s="5" t="s">
        <v>870</v>
      </c>
    </row>
    <row r="56" spans="2:4" x14ac:dyDescent="0.2">
      <c r="D56" s="5" t="s">
        <v>833</v>
      </c>
    </row>
    <row r="57" spans="2:4" x14ac:dyDescent="0.2">
      <c r="D57" s="5" t="s">
        <v>859</v>
      </c>
    </row>
    <row r="58" spans="2:4" x14ac:dyDescent="0.2">
      <c r="D58" s="5" t="s">
        <v>839</v>
      </c>
    </row>
    <row r="59" spans="2:4" x14ac:dyDescent="0.2">
      <c r="D59" s="5" t="s">
        <v>871</v>
      </c>
    </row>
    <row r="60" spans="2:4" x14ac:dyDescent="0.2">
      <c r="D60" s="5" t="s">
        <v>748</v>
      </c>
    </row>
    <row r="61" spans="2:4" x14ac:dyDescent="0.2">
      <c r="B61" s="5" t="s">
        <v>872</v>
      </c>
    </row>
    <row r="62" spans="2:4" x14ac:dyDescent="0.2">
      <c r="D62" s="5" t="s">
        <v>703</v>
      </c>
    </row>
    <row r="63" spans="2:4" x14ac:dyDescent="0.2">
      <c r="D63" s="5" t="s">
        <v>704</v>
      </c>
    </row>
    <row r="64" spans="2:4" x14ac:dyDescent="0.2">
      <c r="D64" s="5" t="s">
        <v>705</v>
      </c>
    </row>
    <row r="65" spans="2:4" x14ac:dyDescent="0.2">
      <c r="D65" s="5" t="s">
        <v>711</v>
      </c>
    </row>
    <row r="66" spans="2:4" x14ac:dyDescent="0.2">
      <c r="D66" s="5" t="s">
        <v>712</v>
      </c>
    </row>
    <row r="67" spans="2:4" x14ac:dyDescent="0.2">
      <c r="B67" s="5" t="s">
        <v>873</v>
      </c>
    </row>
    <row r="68" spans="2:4" x14ac:dyDescent="0.2">
      <c r="D68" s="5" t="s">
        <v>864</v>
      </c>
    </row>
    <row r="69" spans="2:4" x14ac:dyDescent="0.2">
      <c r="D69" s="5" t="s">
        <v>704</v>
      </c>
    </row>
    <row r="70" spans="2:4" x14ac:dyDescent="0.2">
      <c r="D70" s="5" t="s">
        <v>865</v>
      </c>
    </row>
    <row r="71" spans="2:4" x14ac:dyDescent="0.2">
      <c r="D71" s="5" t="s">
        <v>874</v>
      </c>
    </row>
    <row r="72" spans="2:4" x14ac:dyDescent="0.2">
      <c r="D72" s="5" t="s">
        <v>845</v>
      </c>
    </row>
  </sheetData>
  <autoFilter ref="A18:H18"/>
  <conditionalFormatting sqref="C17">
    <cfRule type="cellIs" dxfId="167" priority="1" stopIfTrue="1" operator="equal">
      <formula>$B$10</formula>
    </cfRule>
    <cfRule type="cellIs" dxfId="166"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4</v>
      </c>
      <c r="C2" s="15">
        <f>IF(ISERROR(VALUE(TRIM(CLEAN(MID(C20,FIND("(",C20)+1,FIND("/",C20,1)-FIND("(",C20)-1))))),0,VALUE(TRIM(CLEAN(MID(C20,FIND("(",C20)+1,FIND("/",C20,1)-FIND("(",C20)-1)))))</f>
        <v>4</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48</v>
      </c>
      <c r="C4" s="16">
        <f>IF(ISERROR(VALUE(TRIM(CLEAN(MID(C23,FIND("(",C23)+1,FIND("/",C23,1)-FIND("(",C23)-1))))),0,VALUE(TRIM(CLEAN(MID(C23,FIND("(",C23)+1,FIND("/",C23,1)-FIND("(",C23)-1)))))</f>
        <v>48</v>
      </c>
      <c r="E4" s="29" t="s">
        <v>2</v>
      </c>
    </row>
    <row r="5" spans="1:5" ht="22.5" x14ac:dyDescent="0.2">
      <c r="A5" s="20" t="s">
        <v>17</v>
      </c>
      <c r="B5" s="21">
        <f>IF(ISERROR(VALUE(TRIM(CLEAN(MID(C24,FIND("/",C24)+1,FIND(")",C24,1)-FIND("/",C24)-1))))),0,VALUE(TRIM(CLEAN(MID(C24,FIND("/",C24)+1,FIND(")",C24,1)-FIND("/",C24)-1)))))</f>
        <v>23</v>
      </c>
      <c r="C5" s="16">
        <f>IF(ISERROR(VALUE(TRIM(CLEAN(MID(C24,FIND("(",C24)+1,FIND("/",C24,1)-FIND("(",C24)-1))))),0,VALUE(TRIM(CLEAN(MID(C24,FIND("(",C24)+1,FIND("/",C24,1)-FIND("(",C24)-1)))))</f>
        <v>23</v>
      </c>
    </row>
    <row r="6" spans="1:5" x14ac:dyDescent="0.2">
      <c r="A6" s="20"/>
      <c r="B6" s="21"/>
      <c r="C6" s="16"/>
    </row>
    <row r="7" spans="1:5" ht="13.5" thickBot="1" x14ac:dyDescent="0.25">
      <c r="A7" s="22" t="s">
        <v>13</v>
      </c>
      <c r="B7" s="23">
        <f>SUM(B2:B5)</f>
        <v>75</v>
      </c>
      <c r="C7" s="17">
        <f>SUM(C2:C5)</f>
        <v>75</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876</v>
      </c>
    </row>
    <row r="20" spans="1:8" x14ac:dyDescent="0.2">
      <c r="C20" s="5" t="s">
        <v>877</v>
      </c>
    </row>
    <row r="21" spans="1:8" x14ac:dyDescent="0.2">
      <c r="C21" s="5" t="s">
        <v>704</v>
      </c>
    </row>
    <row r="22" spans="1:8" x14ac:dyDescent="0.2">
      <c r="C22" s="5" t="s">
        <v>878</v>
      </c>
    </row>
    <row r="23" spans="1:8" x14ac:dyDescent="0.2">
      <c r="C23" s="5" t="s">
        <v>763</v>
      </c>
    </row>
    <row r="24" spans="1:8" x14ac:dyDescent="0.2">
      <c r="C24" s="5" t="s">
        <v>879</v>
      </c>
    </row>
    <row r="25" spans="1:8" x14ac:dyDescent="0.2">
      <c r="B25" s="5" t="s">
        <v>880</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881</v>
      </c>
    </row>
    <row r="32" spans="1:8" x14ac:dyDescent="0.2">
      <c r="D32" s="5" t="s">
        <v>882</v>
      </c>
    </row>
    <row r="33" spans="4:4" x14ac:dyDescent="0.2">
      <c r="D33" s="5" t="s">
        <v>704</v>
      </c>
    </row>
    <row r="34" spans="4:4" x14ac:dyDescent="0.2">
      <c r="D34" s="5" t="s">
        <v>883</v>
      </c>
    </row>
    <row r="35" spans="4:4" x14ac:dyDescent="0.2">
      <c r="D35" s="5" t="s">
        <v>763</v>
      </c>
    </row>
    <row r="36" spans="4:4" x14ac:dyDescent="0.2">
      <c r="D36" s="5" t="s">
        <v>879</v>
      </c>
    </row>
  </sheetData>
  <autoFilter ref="A18:H18"/>
  <conditionalFormatting sqref="C17">
    <cfRule type="cellIs" dxfId="165" priority="1" stopIfTrue="1" operator="equal">
      <formula>$B$10</formula>
    </cfRule>
    <cfRule type="cellIs" dxfId="164"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6</v>
      </c>
      <c r="C2" s="15">
        <f>IF(ISERROR(VALUE(TRIM(CLEAN(MID(C20,FIND("(",C20)+1,FIND("/",C20,1)-FIND("(",C20)-1))))),0,VALUE(TRIM(CLEAN(MID(C20,FIND("(",C20)+1,FIND("/",C20,1)-FIND("(",C20)-1)))))</f>
        <v>6</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28</v>
      </c>
      <c r="C4" s="16">
        <f>IF(ISERROR(VALUE(TRIM(CLEAN(MID(C23,FIND("(",C23)+1,FIND("/",C23,1)-FIND("(",C23)-1))))),0,VALUE(TRIM(CLEAN(MID(C23,FIND("(",C23)+1,FIND("/",C23,1)-FIND("(",C23)-1)))))</f>
        <v>28</v>
      </c>
      <c r="E4" s="29" t="s">
        <v>2</v>
      </c>
    </row>
    <row r="5" spans="1:5" ht="22.5" x14ac:dyDescent="0.2">
      <c r="A5" s="20" t="s">
        <v>17</v>
      </c>
      <c r="B5" s="21">
        <f>IF(ISERROR(VALUE(TRIM(CLEAN(MID(C24,FIND("/",C24)+1,FIND(")",C24,1)-FIND("/",C24)-1))))),0,VALUE(TRIM(CLEAN(MID(C24,FIND("/",C24)+1,FIND(")",C24,1)-FIND("/",C24)-1)))))</f>
        <v>14</v>
      </c>
      <c r="C5" s="16">
        <f>IF(ISERROR(VALUE(TRIM(CLEAN(MID(C24,FIND("(",C24)+1,FIND("/",C24,1)-FIND("(",C24)-1))))),0,VALUE(TRIM(CLEAN(MID(C24,FIND("(",C24)+1,FIND("/",C24,1)-FIND("(",C24)-1)))))</f>
        <v>14</v>
      </c>
    </row>
    <row r="6" spans="1:5" x14ac:dyDescent="0.2">
      <c r="A6" s="20"/>
      <c r="B6" s="21"/>
      <c r="C6" s="16"/>
    </row>
    <row r="7" spans="1:5" ht="13.5" thickBot="1" x14ac:dyDescent="0.25">
      <c r="A7" s="22" t="s">
        <v>13</v>
      </c>
      <c r="B7" s="23">
        <f>SUM(B2:B5)</f>
        <v>48</v>
      </c>
      <c r="C7" s="17">
        <f>SUM(C2:C5)</f>
        <v>48</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885</v>
      </c>
    </row>
    <row r="20" spans="1:8" x14ac:dyDescent="0.2">
      <c r="C20" s="5" t="s">
        <v>886</v>
      </c>
    </row>
    <row r="21" spans="1:8" x14ac:dyDescent="0.2">
      <c r="C21" s="5" t="s">
        <v>704</v>
      </c>
    </row>
    <row r="22" spans="1:8" x14ac:dyDescent="0.2">
      <c r="C22" s="5" t="s">
        <v>887</v>
      </c>
    </row>
    <row r="23" spans="1:8" x14ac:dyDescent="0.2">
      <c r="C23" s="5" t="s">
        <v>874</v>
      </c>
    </row>
    <row r="24" spans="1:8" x14ac:dyDescent="0.2">
      <c r="C24" s="5" t="s">
        <v>845</v>
      </c>
    </row>
    <row r="25" spans="1:8" x14ac:dyDescent="0.2">
      <c r="B25" s="5" t="s">
        <v>888</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889</v>
      </c>
    </row>
    <row r="32" spans="1:8" x14ac:dyDescent="0.2">
      <c r="D32" s="5" t="s">
        <v>864</v>
      </c>
    </row>
    <row r="33" spans="4:4" x14ac:dyDescent="0.2">
      <c r="D33" s="5" t="s">
        <v>704</v>
      </c>
    </row>
    <row r="34" spans="4:4" x14ac:dyDescent="0.2">
      <c r="D34" s="5" t="s">
        <v>865</v>
      </c>
    </row>
    <row r="35" spans="4:4" x14ac:dyDescent="0.2">
      <c r="D35" s="5" t="s">
        <v>874</v>
      </c>
    </row>
    <row r="36" spans="4:4" x14ac:dyDescent="0.2">
      <c r="D36" s="5" t="s">
        <v>845</v>
      </c>
    </row>
  </sheetData>
  <autoFilter ref="A18:H18"/>
  <conditionalFormatting sqref="C17">
    <cfRule type="cellIs" dxfId="163" priority="1" stopIfTrue="1" operator="equal">
      <formula>$B$10</formula>
    </cfRule>
    <cfRule type="cellIs" dxfId="162"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6</v>
      </c>
      <c r="C2" s="15">
        <f>IF(ISERROR(VALUE(TRIM(CLEAN(MID(C20,FIND("(",C20)+1,FIND("/",C20,1)-FIND("(",C20)-1))))),0,VALUE(TRIM(CLEAN(MID(C20,FIND("(",C20)+1,FIND("/",C20,1)-FIND("(",C20)-1)))))</f>
        <v>6</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28</v>
      </c>
      <c r="C4" s="16">
        <f>IF(ISERROR(VALUE(TRIM(CLEAN(MID(C23,FIND("(",C23)+1,FIND("/",C23,1)-FIND("(",C23)-1))))),0,VALUE(TRIM(CLEAN(MID(C23,FIND("(",C23)+1,FIND("/",C23,1)-FIND("(",C23)-1)))))</f>
        <v>28</v>
      </c>
      <c r="E4" s="29" t="s">
        <v>2</v>
      </c>
    </row>
    <row r="5" spans="1:5" ht="22.5" x14ac:dyDescent="0.2">
      <c r="A5" s="20" t="s">
        <v>17</v>
      </c>
      <c r="B5" s="21">
        <f>IF(ISERROR(VALUE(TRIM(CLEAN(MID(C24,FIND("/",C24)+1,FIND(")",C24,1)-FIND("/",C24)-1))))),0,VALUE(TRIM(CLEAN(MID(C24,FIND("/",C24)+1,FIND(")",C24,1)-FIND("/",C24)-1)))))</f>
        <v>14</v>
      </c>
      <c r="C5" s="16">
        <f>IF(ISERROR(VALUE(TRIM(CLEAN(MID(C24,FIND("(",C24)+1,FIND("/",C24,1)-FIND("(",C24)-1))))),0,VALUE(TRIM(CLEAN(MID(C24,FIND("(",C24)+1,FIND("/",C24,1)-FIND("(",C24)-1)))))</f>
        <v>14</v>
      </c>
    </row>
    <row r="6" spans="1:5" x14ac:dyDescent="0.2">
      <c r="A6" s="20"/>
      <c r="B6" s="21"/>
      <c r="C6" s="16"/>
    </row>
    <row r="7" spans="1:5" ht="13.5" thickBot="1" x14ac:dyDescent="0.25">
      <c r="A7" s="22" t="s">
        <v>13</v>
      </c>
      <c r="B7" s="23">
        <f>SUM(B2:B5)</f>
        <v>48</v>
      </c>
      <c r="C7" s="17">
        <f>SUM(C2:C5)</f>
        <v>48</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891</v>
      </c>
    </row>
    <row r="20" spans="1:8" x14ac:dyDescent="0.2">
      <c r="C20" s="5" t="s">
        <v>886</v>
      </c>
    </row>
    <row r="21" spans="1:8" x14ac:dyDescent="0.2">
      <c r="C21" s="5" t="s">
        <v>704</v>
      </c>
    </row>
    <row r="22" spans="1:8" x14ac:dyDescent="0.2">
      <c r="C22" s="5" t="s">
        <v>887</v>
      </c>
    </row>
    <row r="23" spans="1:8" x14ac:dyDescent="0.2">
      <c r="C23" s="5" t="s">
        <v>874</v>
      </c>
    </row>
    <row r="24" spans="1:8" x14ac:dyDescent="0.2">
      <c r="C24" s="5" t="s">
        <v>845</v>
      </c>
    </row>
    <row r="25" spans="1:8" x14ac:dyDescent="0.2">
      <c r="B25" s="5" t="s">
        <v>892</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893</v>
      </c>
    </row>
    <row r="32" spans="1:8" x14ac:dyDescent="0.2">
      <c r="D32" s="5" t="s">
        <v>864</v>
      </c>
    </row>
    <row r="33" spans="4:4" x14ac:dyDescent="0.2">
      <c r="D33" s="5" t="s">
        <v>704</v>
      </c>
    </row>
    <row r="34" spans="4:4" x14ac:dyDescent="0.2">
      <c r="D34" s="5" t="s">
        <v>865</v>
      </c>
    </row>
    <row r="35" spans="4:4" x14ac:dyDescent="0.2">
      <c r="D35" s="5" t="s">
        <v>874</v>
      </c>
    </row>
    <row r="36" spans="4:4" x14ac:dyDescent="0.2">
      <c r="D36" s="5" t="s">
        <v>845</v>
      </c>
    </row>
  </sheetData>
  <autoFilter ref="A18:H18"/>
  <conditionalFormatting sqref="C17">
    <cfRule type="cellIs" dxfId="161" priority="1" stopIfTrue="1" operator="equal">
      <formula>$B$10</formula>
    </cfRule>
    <cfRule type="cellIs" dxfId="160"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indexed="11"/>
  </sheetPr>
  <dimension ref="A1:H54"/>
  <sheetViews>
    <sheetView topLeftCell="A10" workbookViewId="0">
      <selection activeCell="F52" sqref="F52"/>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26</v>
      </c>
      <c r="C2" s="15">
        <f>IF(ISERROR(VALUE(TRIM(CLEAN(MID(C20,FIND("(",C20)+1,FIND("/",C20,1)-FIND("(",C20)-1))))),0,VALUE(TRIM(CLEAN(MID(C20,FIND("(",C20)+1,FIND("/",C20,1)-FIND("(",C20)-1)))))</f>
        <v>23</v>
      </c>
    </row>
    <row r="3" spans="1:5" ht="22.5" x14ac:dyDescent="0.2">
      <c r="A3" s="20" t="s">
        <v>15</v>
      </c>
      <c r="B3" s="21">
        <f>IF(ISERROR(VALUE(TRIM(CLEAN(MID(C21,FIND("/",C21)+1,FIND(")",C21,1)-FIND("/",C21)-1))))),0,VALUE(TRIM(CLEAN(MID(C21,FIND("/",C21)+1,FIND(")",C21,1)-FIND("/",C21)-1)))))</f>
        <v>3</v>
      </c>
      <c r="C3" s="16">
        <f>IF(ISERROR(VALUE(TRIM(CLEAN(MID(C21,FIND("(",C21)+1,FIND("/",C21,1)-FIND("(",C21)-1))))),0,VALUE(TRIM(CLEAN(MID(C21,FIND("(",C21)+1,FIND("/",C21,1)-FIND("(",C21)-1)))))</f>
        <v>3</v>
      </c>
      <c r="E3" s="29" t="s">
        <v>1</v>
      </c>
    </row>
    <row r="4" spans="1:5" ht="22.5" x14ac:dyDescent="0.2">
      <c r="A4" s="20" t="s">
        <v>16</v>
      </c>
      <c r="B4" s="21">
        <f>IF(ISERROR(VALUE(TRIM(CLEAN(MID(C23,FIND("/",C23)+1,FIND(")",C23,1)-FIND("/",C23)-1))))),0,VALUE(TRIM(CLEAN(MID(C23,FIND("/",C23)+1,FIND(")",C23,1)-FIND("/",C23)-1)))))</f>
        <v>69</v>
      </c>
      <c r="C4" s="16">
        <f>IF(ISERROR(VALUE(TRIM(CLEAN(MID(C23,FIND("(",C23)+1,FIND("/",C23,1)-FIND("(",C23)-1))))),0,VALUE(TRIM(CLEAN(MID(C23,FIND("(",C23)+1,FIND("/",C23,1)-FIND("(",C23)-1)))))</f>
        <v>66</v>
      </c>
      <c r="E4" s="29" t="s">
        <v>2</v>
      </c>
    </row>
    <row r="5" spans="1:5" ht="22.5" x14ac:dyDescent="0.2">
      <c r="A5" s="20" t="s">
        <v>17</v>
      </c>
      <c r="B5" s="21">
        <f>IF(ISERROR(VALUE(TRIM(CLEAN(MID(C24,FIND("/",C24)+1,FIND(")",C24,1)-FIND("/",C24)-1))))),0,VALUE(TRIM(CLEAN(MID(C24,FIND("/",C24)+1,FIND(")",C24,1)-FIND("/",C24)-1)))))</f>
        <v>22</v>
      </c>
      <c r="C5" s="16">
        <f>IF(ISERROR(VALUE(TRIM(CLEAN(MID(C24,FIND("(",C24)+1,FIND("/",C24,1)-FIND("(",C24)-1))))),0,VALUE(TRIM(CLEAN(MID(C24,FIND("(",C24)+1,FIND("/",C24,1)-FIND("(",C24)-1)))))</f>
        <v>22</v>
      </c>
    </row>
    <row r="6" spans="1:5" x14ac:dyDescent="0.2">
      <c r="A6" s="20"/>
      <c r="B6" s="21"/>
      <c r="C6" s="16"/>
    </row>
    <row r="7" spans="1:5" ht="13.5" thickBot="1" x14ac:dyDescent="0.25">
      <c r="A7" s="22" t="s">
        <v>13</v>
      </c>
      <c r="B7" s="23">
        <f>SUM(B2:B5)</f>
        <v>120</v>
      </c>
      <c r="C7" s="17">
        <f>SUM(C2:C5)</f>
        <v>114</v>
      </c>
    </row>
    <row r="8" spans="1:5" x14ac:dyDescent="0.2">
      <c r="A8" s="12"/>
      <c r="B8" s="7"/>
      <c r="C8" s="7"/>
    </row>
    <row r="9" spans="1:5" ht="13.5" thickBot="1" x14ac:dyDescent="0.25">
      <c r="A9" s="10"/>
      <c r="B9" s="7"/>
      <c r="C9" s="7"/>
    </row>
    <row r="10" spans="1:5" ht="24" thickTop="1" thickBot="1" x14ac:dyDescent="0.25">
      <c r="A10" s="24" t="s">
        <v>18</v>
      </c>
      <c r="B10" s="26">
        <f>B7-C7</f>
        <v>6</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6</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6</v>
      </c>
    </row>
    <row r="18" spans="1:8" customFormat="1" ht="23.25" x14ac:dyDescent="0.25">
      <c r="A18" s="4" t="s">
        <v>3</v>
      </c>
      <c r="B18" s="6" t="s">
        <v>4</v>
      </c>
      <c r="C18" s="8" t="s">
        <v>6</v>
      </c>
      <c r="D18" s="8" t="s">
        <v>7</v>
      </c>
      <c r="E18" s="8" t="s">
        <v>5</v>
      </c>
      <c r="F18" s="3" t="s">
        <v>10</v>
      </c>
      <c r="G18" s="1" t="s">
        <v>9</v>
      </c>
      <c r="H18" s="2" t="s">
        <v>8</v>
      </c>
    </row>
    <row r="19" spans="1:8" x14ac:dyDescent="0.2">
      <c r="A19" s="5" t="s">
        <v>895</v>
      </c>
    </row>
    <row r="20" spans="1:8" x14ac:dyDescent="0.2">
      <c r="C20" s="5" t="s">
        <v>896</v>
      </c>
    </row>
    <row r="21" spans="1:8" x14ac:dyDescent="0.2">
      <c r="C21" s="5" t="s">
        <v>897</v>
      </c>
    </row>
    <row r="22" spans="1:8" x14ac:dyDescent="0.2">
      <c r="C22" s="5" t="s">
        <v>898</v>
      </c>
    </row>
    <row r="23" spans="1:8" x14ac:dyDescent="0.2">
      <c r="C23" s="5" t="s">
        <v>899</v>
      </c>
    </row>
    <row r="24" spans="1:8" x14ac:dyDescent="0.2">
      <c r="C24" s="5" t="s">
        <v>900</v>
      </c>
    </row>
    <row r="25" spans="1:8" x14ac:dyDescent="0.2">
      <c r="B25" s="5" t="s">
        <v>901</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902</v>
      </c>
    </row>
    <row r="32" spans="1:8" x14ac:dyDescent="0.2">
      <c r="D32" s="5" t="s">
        <v>703</v>
      </c>
    </row>
    <row r="33" spans="2:8" x14ac:dyDescent="0.2">
      <c r="D33" s="5" t="s">
        <v>704</v>
      </c>
    </row>
    <row r="34" spans="2:8" x14ac:dyDescent="0.2">
      <c r="D34" s="5" t="s">
        <v>705</v>
      </c>
    </row>
    <row r="35" spans="2:8" x14ac:dyDescent="0.2">
      <c r="D35" s="5" t="s">
        <v>711</v>
      </c>
    </row>
    <row r="36" spans="2:8" x14ac:dyDescent="0.2">
      <c r="D36" s="5" t="s">
        <v>712</v>
      </c>
    </row>
    <row r="37" spans="2:8" x14ac:dyDescent="0.2">
      <c r="B37" s="5" t="s">
        <v>903</v>
      </c>
    </row>
    <row r="38" spans="2:8" x14ac:dyDescent="0.2">
      <c r="D38" s="5" t="s">
        <v>703</v>
      </c>
    </row>
    <row r="39" spans="2:8" x14ac:dyDescent="0.2">
      <c r="D39" s="5" t="s">
        <v>704</v>
      </c>
    </row>
    <row r="40" spans="2:8" x14ac:dyDescent="0.2">
      <c r="D40" s="5" t="s">
        <v>705</v>
      </c>
    </row>
    <row r="41" spans="2:8" x14ac:dyDescent="0.2">
      <c r="D41" s="5" t="s">
        <v>711</v>
      </c>
    </row>
    <row r="42" spans="2:8" x14ac:dyDescent="0.2">
      <c r="D42" s="5" t="s">
        <v>712</v>
      </c>
    </row>
    <row r="43" spans="2:8" x14ac:dyDescent="0.2">
      <c r="B43" s="5" t="s">
        <v>904</v>
      </c>
    </row>
    <row r="44" spans="2:8" x14ac:dyDescent="0.2">
      <c r="D44" s="5" t="s">
        <v>905</v>
      </c>
    </row>
    <row r="45" spans="2:8" x14ac:dyDescent="0.2">
      <c r="E45" s="5" t="s">
        <v>906</v>
      </c>
      <c r="F45" s="5">
        <v>256</v>
      </c>
      <c r="G45" s="5" t="s">
        <v>23</v>
      </c>
      <c r="H45" s="5" t="s">
        <v>1925</v>
      </c>
    </row>
    <row r="46" spans="2:8" x14ac:dyDescent="0.2">
      <c r="E46" s="5" t="s">
        <v>907</v>
      </c>
      <c r="F46" s="5">
        <v>379</v>
      </c>
      <c r="G46" s="5" t="s">
        <v>23</v>
      </c>
      <c r="H46" s="5" t="s">
        <v>1925</v>
      </c>
    </row>
    <row r="47" spans="2:8" x14ac:dyDescent="0.2">
      <c r="E47" s="5" t="s">
        <v>908</v>
      </c>
      <c r="F47" s="5">
        <v>481</v>
      </c>
      <c r="G47" s="5" t="s">
        <v>23</v>
      </c>
      <c r="H47" s="5" t="s">
        <v>1925</v>
      </c>
    </row>
    <row r="48" spans="2:8" x14ac:dyDescent="0.2">
      <c r="D48" s="5" t="s">
        <v>897</v>
      </c>
    </row>
    <row r="49" spans="4:8" x14ac:dyDescent="0.2">
      <c r="D49" s="5" t="s">
        <v>909</v>
      </c>
    </row>
    <row r="50" spans="4:8" x14ac:dyDescent="0.2">
      <c r="D50" s="5" t="s">
        <v>899</v>
      </c>
    </row>
    <row r="51" spans="4:8" x14ac:dyDescent="0.2">
      <c r="E51" s="5" t="s">
        <v>910</v>
      </c>
      <c r="F51" s="5">
        <v>256</v>
      </c>
      <c r="G51" s="5" t="s">
        <v>23</v>
      </c>
      <c r="H51" s="5" t="s">
        <v>1925</v>
      </c>
    </row>
    <row r="52" spans="4:8" x14ac:dyDescent="0.2">
      <c r="E52" s="5" t="s">
        <v>911</v>
      </c>
      <c r="F52" s="5">
        <v>379</v>
      </c>
      <c r="G52" s="5" t="s">
        <v>23</v>
      </c>
      <c r="H52" s="5" t="s">
        <v>1925</v>
      </c>
    </row>
    <row r="53" spans="4:8" x14ac:dyDescent="0.2">
      <c r="E53" s="5" t="s">
        <v>912</v>
      </c>
      <c r="F53" s="5">
        <v>481</v>
      </c>
      <c r="G53" s="5" t="s">
        <v>23</v>
      </c>
      <c r="H53" s="5" t="s">
        <v>1925</v>
      </c>
    </row>
    <row r="54" spans="4:8" x14ac:dyDescent="0.2">
      <c r="D54" s="5" t="s">
        <v>900</v>
      </c>
    </row>
  </sheetData>
  <autoFilter ref="A18:H18"/>
  <conditionalFormatting sqref="C17">
    <cfRule type="cellIs" dxfId="159" priority="1" stopIfTrue="1" operator="equal">
      <formula>$B$10</formula>
    </cfRule>
    <cfRule type="cellIs" dxfId="158"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indexed="11"/>
  </sheetPr>
  <dimension ref="A1:H52"/>
  <sheetViews>
    <sheetView topLeftCell="A10" workbookViewId="0">
      <selection activeCell="F45" sqref="F45:H51"/>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85</v>
      </c>
      <c r="C2" s="15">
        <f>IF(ISERROR(VALUE(TRIM(CLEAN(MID(C20,FIND("(",C20)+1,FIND("/",C20,1)-FIND("(",C20)-1))))),0,VALUE(TRIM(CLEAN(MID(C20,FIND("(",C20)+1,FIND("/",C20,1)-FIND("(",C20)-1)))))</f>
        <v>83</v>
      </c>
    </row>
    <row r="3" spans="1:5" ht="22.5" x14ac:dyDescent="0.2">
      <c r="A3" s="20" t="s">
        <v>15</v>
      </c>
      <c r="B3" s="21">
        <f>IF(ISERROR(VALUE(TRIM(CLEAN(MID(C21,FIND("/",C21)+1,FIND(")",C21,1)-FIND("/",C21)-1))))),0,VALUE(TRIM(CLEAN(MID(C21,FIND("/",C21)+1,FIND(")",C21,1)-FIND("/",C21)-1)))))</f>
        <v>10</v>
      </c>
      <c r="C3" s="16">
        <f>IF(ISERROR(VALUE(TRIM(CLEAN(MID(C21,FIND("(",C21)+1,FIND("/",C21,1)-FIND("(",C21)-1))))),0,VALUE(TRIM(CLEAN(MID(C21,FIND("(",C21)+1,FIND("/",C21,1)-FIND("(",C21)-1)))))</f>
        <v>10</v>
      </c>
      <c r="E3" s="29" t="s">
        <v>1</v>
      </c>
    </row>
    <row r="4" spans="1:5" ht="22.5" x14ac:dyDescent="0.2">
      <c r="A4" s="20" t="s">
        <v>16</v>
      </c>
      <c r="B4" s="21">
        <f>IF(ISERROR(VALUE(TRIM(CLEAN(MID(C23,FIND("/",C23)+1,FIND(")",C23,1)-FIND("/",C23)-1))))),0,VALUE(TRIM(CLEAN(MID(C23,FIND("/",C23)+1,FIND(")",C23,1)-FIND("/",C23)-1)))))</f>
        <v>97</v>
      </c>
      <c r="C4" s="16">
        <f>IF(ISERROR(VALUE(TRIM(CLEAN(MID(C23,FIND("(",C23)+1,FIND("/",C23,1)-FIND("(",C23)-1))))),0,VALUE(TRIM(CLEAN(MID(C23,FIND("(",C23)+1,FIND("/",C23,1)-FIND("(",C23)-1)))))</f>
        <v>95</v>
      </c>
      <c r="E4" s="29" t="s">
        <v>2</v>
      </c>
    </row>
    <row r="5" spans="1:5" ht="22.5" x14ac:dyDescent="0.2">
      <c r="A5" s="20" t="s">
        <v>17</v>
      </c>
      <c r="B5" s="21">
        <f>IF(ISERROR(VALUE(TRIM(CLEAN(MID(C24,FIND("/",C24)+1,FIND(")",C24,1)-FIND("/",C24)-1))))),0,VALUE(TRIM(CLEAN(MID(C24,FIND("/",C24)+1,FIND(")",C24,1)-FIND("/",C24)-1)))))</f>
        <v>4</v>
      </c>
      <c r="C5" s="16">
        <f>IF(ISERROR(VALUE(TRIM(CLEAN(MID(C24,FIND("(",C24)+1,FIND("/",C24,1)-FIND("(",C24)-1))))),0,VALUE(TRIM(CLEAN(MID(C24,FIND("(",C24)+1,FIND("/",C24,1)-FIND("(",C24)-1)))))</f>
        <v>4</v>
      </c>
    </row>
    <row r="6" spans="1:5" x14ac:dyDescent="0.2">
      <c r="A6" s="20"/>
      <c r="B6" s="21"/>
      <c r="C6" s="16"/>
    </row>
    <row r="7" spans="1:5" ht="13.5" thickBot="1" x14ac:dyDescent="0.25">
      <c r="A7" s="22" t="s">
        <v>13</v>
      </c>
      <c r="B7" s="23">
        <f>SUM(B2:B5)</f>
        <v>196</v>
      </c>
      <c r="C7" s="17">
        <f>SUM(C2:C5)</f>
        <v>192</v>
      </c>
    </row>
    <row r="8" spans="1:5" x14ac:dyDescent="0.2">
      <c r="A8" s="12"/>
      <c r="B8" s="7"/>
      <c r="C8" s="7"/>
    </row>
    <row r="9" spans="1:5" ht="13.5" thickBot="1" x14ac:dyDescent="0.25">
      <c r="A9" s="10"/>
      <c r="B9" s="7"/>
      <c r="C9" s="7"/>
    </row>
    <row r="10" spans="1:5" ht="24" thickTop="1" thickBot="1" x14ac:dyDescent="0.25">
      <c r="A10" s="24" t="s">
        <v>18</v>
      </c>
      <c r="B10" s="26">
        <f>B7-C7</f>
        <v>4</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4</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4</v>
      </c>
    </row>
    <row r="18" spans="1:8" customFormat="1" ht="23.25" x14ac:dyDescent="0.25">
      <c r="A18" s="4" t="s">
        <v>3</v>
      </c>
      <c r="B18" s="6" t="s">
        <v>4</v>
      </c>
      <c r="C18" s="8" t="s">
        <v>6</v>
      </c>
      <c r="D18" s="8" t="s">
        <v>7</v>
      </c>
      <c r="E18" s="8" t="s">
        <v>5</v>
      </c>
      <c r="F18" s="3" t="s">
        <v>10</v>
      </c>
      <c r="G18" s="1" t="s">
        <v>9</v>
      </c>
      <c r="H18" s="2" t="s">
        <v>8</v>
      </c>
    </row>
    <row r="19" spans="1:8" x14ac:dyDescent="0.2">
      <c r="A19" s="5" t="s">
        <v>914</v>
      </c>
    </row>
    <row r="20" spans="1:8" x14ac:dyDescent="0.2">
      <c r="C20" s="5" t="s">
        <v>915</v>
      </c>
    </row>
    <row r="21" spans="1:8" x14ac:dyDescent="0.2">
      <c r="C21" s="5" t="s">
        <v>916</v>
      </c>
    </row>
    <row r="22" spans="1:8" x14ac:dyDescent="0.2">
      <c r="C22" s="5" t="s">
        <v>917</v>
      </c>
    </row>
    <row r="23" spans="1:8" x14ac:dyDescent="0.2">
      <c r="C23" s="5" t="s">
        <v>918</v>
      </c>
    </row>
    <row r="24" spans="1:8" x14ac:dyDescent="0.2">
      <c r="C24" s="5" t="s">
        <v>744</v>
      </c>
    </row>
    <row r="25" spans="1:8" x14ac:dyDescent="0.2">
      <c r="B25" s="5" t="s">
        <v>919</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920</v>
      </c>
    </row>
    <row r="32" spans="1:8" x14ac:dyDescent="0.2">
      <c r="D32" s="5" t="s">
        <v>703</v>
      </c>
    </row>
    <row r="33" spans="2:8" x14ac:dyDescent="0.2">
      <c r="D33" s="5" t="s">
        <v>704</v>
      </c>
    </row>
    <row r="34" spans="2:8" x14ac:dyDescent="0.2">
      <c r="D34" s="5" t="s">
        <v>705</v>
      </c>
    </row>
    <row r="35" spans="2:8" x14ac:dyDescent="0.2">
      <c r="D35" s="5" t="s">
        <v>711</v>
      </c>
    </row>
    <row r="36" spans="2:8" x14ac:dyDescent="0.2">
      <c r="D36" s="5" t="s">
        <v>712</v>
      </c>
    </row>
    <row r="37" spans="2:8" x14ac:dyDescent="0.2">
      <c r="B37" s="5" t="s">
        <v>921</v>
      </c>
    </row>
    <row r="38" spans="2:8" x14ac:dyDescent="0.2">
      <c r="D38" s="5" t="s">
        <v>703</v>
      </c>
    </row>
    <row r="39" spans="2:8" x14ac:dyDescent="0.2">
      <c r="D39" s="5" t="s">
        <v>704</v>
      </c>
    </row>
    <row r="40" spans="2:8" x14ac:dyDescent="0.2">
      <c r="D40" s="5" t="s">
        <v>705</v>
      </c>
    </row>
    <row r="41" spans="2:8" x14ac:dyDescent="0.2">
      <c r="D41" s="5" t="s">
        <v>711</v>
      </c>
    </row>
    <row r="42" spans="2:8" x14ac:dyDescent="0.2">
      <c r="D42" s="5" t="s">
        <v>712</v>
      </c>
    </row>
    <row r="43" spans="2:8" x14ac:dyDescent="0.2">
      <c r="B43" s="5" t="s">
        <v>922</v>
      </c>
    </row>
    <row r="44" spans="2:8" x14ac:dyDescent="0.2">
      <c r="D44" s="5" t="s">
        <v>923</v>
      </c>
    </row>
    <row r="45" spans="2:8" x14ac:dyDescent="0.2">
      <c r="E45" s="5" t="s">
        <v>924</v>
      </c>
      <c r="F45" s="5">
        <v>579</v>
      </c>
      <c r="G45" s="5" t="s">
        <v>23</v>
      </c>
      <c r="H45" s="5" t="s">
        <v>1925</v>
      </c>
    </row>
    <row r="46" spans="2:8" x14ac:dyDescent="0.2">
      <c r="E46" s="5" t="s">
        <v>925</v>
      </c>
      <c r="F46" s="5">
        <v>760</v>
      </c>
      <c r="G46" s="5" t="s">
        <v>23</v>
      </c>
      <c r="H46" s="5" t="s">
        <v>1925</v>
      </c>
    </row>
    <row r="47" spans="2:8" x14ac:dyDescent="0.2">
      <c r="D47" s="5" t="s">
        <v>916</v>
      </c>
    </row>
    <row r="48" spans="2:8" x14ac:dyDescent="0.2">
      <c r="D48" s="5" t="s">
        <v>926</v>
      </c>
    </row>
    <row r="49" spans="4:8" x14ac:dyDescent="0.2">
      <c r="D49" s="5" t="s">
        <v>918</v>
      </c>
    </row>
    <row r="50" spans="4:8" x14ac:dyDescent="0.2">
      <c r="E50" s="5" t="s">
        <v>927</v>
      </c>
      <c r="F50" s="5">
        <v>579</v>
      </c>
      <c r="G50" s="5" t="s">
        <v>23</v>
      </c>
      <c r="H50" s="5" t="s">
        <v>1925</v>
      </c>
    </row>
    <row r="51" spans="4:8" x14ac:dyDescent="0.2">
      <c r="E51" s="5" t="s">
        <v>928</v>
      </c>
      <c r="F51" s="5">
        <v>760</v>
      </c>
      <c r="G51" s="5" t="s">
        <v>23</v>
      </c>
      <c r="H51" s="5" t="s">
        <v>1925</v>
      </c>
    </row>
    <row r="52" spans="4:8" x14ac:dyDescent="0.2">
      <c r="D52" s="5" t="s">
        <v>744</v>
      </c>
    </row>
  </sheetData>
  <autoFilter ref="A18:H18"/>
  <conditionalFormatting sqref="C17">
    <cfRule type="cellIs" dxfId="157" priority="1" stopIfTrue="1" operator="equal">
      <formula>$B$10</formula>
    </cfRule>
    <cfRule type="cellIs" dxfId="156"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indexed="11"/>
  </sheetPr>
  <dimension ref="A1:H48"/>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44</v>
      </c>
      <c r="C2" s="15">
        <f>IF(ISERROR(VALUE(TRIM(CLEAN(MID(C20,FIND("(",C20)+1,FIND("/",C20,1)-FIND("(",C20)-1))))),0,VALUE(TRIM(CLEAN(MID(C20,FIND("(",C20)+1,FIND("/",C20,1)-FIND("(",C20)-1)))))</f>
        <v>44</v>
      </c>
    </row>
    <row r="3" spans="1:5" ht="22.5" x14ac:dyDescent="0.2">
      <c r="A3" s="20" t="s">
        <v>15</v>
      </c>
      <c r="B3" s="21">
        <f>IF(ISERROR(VALUE(TRIM(CLEAN(MID(C21,FIND("/",C21)+1,FIND(")",C21,1)-FIND("/",C21)-1))))),0,VALUE(TRIM(CLEAN(MID(C21,FIND("/",C21)+1,FIND(")",C21,1)-FIND("/",C21)-1)))))</f>
        <v>2</v>
      </c>
      <c r="C3" s="16">
        <f>IF(ISERROR(VALUE(TRIM(CLEAN(MID(C21,FIND("(",C21)+1,FIND("/",C21,1)-FIND("(",C21)-1))))),0,VALUE(TRIM(CLEAN(MID(C21,FIND("(",C21)+1,FIND("/",C21,1)-FIND("(",C21)-1)))))</f>
        <v>2</v>
      </c>
      <c r="E3" s="29" t="s">
        <v>1</v>
      </c>
    </row>
    <row r="4" spans="1:5" ht="22.5" x14ac:dyDescent="0.2">
      <c r="A4" s="20" t="s">
        <v>16</v>
      </c>
      <c r="B4" s="21">
        <f>IF(ISERROR(VALUE(TRIM(CLEAN(MID(C23,FIND("/",C23)+1,FIND(")",C23,1)-FIND("/",C23)-1))))),0,VALUE(TRIM(CLEAN(MID(C23,FIND("/",C23)+1,FIND(")",C23,1)-FIND("/",C23)-1)))))</f>
        <v>50</v>
      </c>
      <c r="C4" s="16">
        <f>IF(ISERROR(VALUE(TRIM(CLEAN(MID(C23,FIND("(",C23)+1,FIND("/",C23,1)-FIND("(",C23)-1))))),0,VALUE(TRIM(CLEAN(MID(C23,FIND("(",C23)+1,FIND("/",C23,1)-FIND("(",C23)-1)))))</f>
        <v>50</v>
      </c>
      <c r="E4" s="29" t="s">
        <v>2</v>
      </c>
    </row>
    <row r="5" spans="1:5" ht="22.5" x14ac:dyDescent="0.2">
      <c r="A5" s="20" t="s">
        <v>17</v>
      </c>
      <c r="B5" s="21">
        <f>IF(ISERROR(VALUE(TRIM(CLEAN(MID(C24,FIND("/",C24)+1,FIND(")",C24,1)-FIND("/",C24)-1))))),0,VALUE(TRIM(CLEAN(MID(C24,FIND("/",C24)+1,FIND(")",C24,1)-FIND("/",C24)-1)))))</f>
        <v>6</v>
      </c>
      <c r="C5" s="16">
        <f>IF(ISERROR(VALUE(TRIM(CLEAN(MID(C24,FIND("(",C24)+1,FIND("/",C24,1)-FIND("(",C24)-1))))),0,VALUE(TRIM(CLEAN(MID(C24,FIND("(",C24)+1,FIND("/",C24,1)-FIND("(",C24)-1)))))</f>
        <v>6</v>
      </c>
    </row>
    <row r="6" spans="1:5" x14ac:dyDescent="0.2">
      <c r="A6" s="20"/>
      <c r="B6" s="21"/>
      <c r="C6" s="16"/>
    </row>
    <row r="7" spans="1:5" ht="13.5" thickBot="1" x14ac:dyDescent="0.25">
      <c r="A7" s="22" t="s">
        <v>13</v>
      </c>
      <c r="B7" s="23">
        <f>SUM(B2:B5)</f>
        <v>102</v>
      </c>
      <c r="C7" s="17">
        <f>SUM(C2:C5)</f>
        <v>102</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930</v>
      </c>
    </row>
    <row r="20" spans="1:8" x14ac:dyDescent="0.2">
      <c r="C20" s="5" t="s">
        <v>931</v>
      </c>
    </row>
    <row r="21" spans="1:8" x14ac:dyDescent="0.2">
      <c r="C21" s="5" t="s">
        <v>834</v>
      </c>
    </row>
    <row r="22" spans="1:8" x14ac:dyDescent="0.2">
      <c r="C22" s="5" t="s">
        <v>932</v>
      </c>
    </row>
    <row r="23" spans="1:8" x14ac:dyDescent="0.2">
      <c r="C23" s="5" t="s">
        <v>760</v>
      </c>
    </row>
    <row r="24" spans="1:8" x14ac:dyDescent="0.2">
      <c r="C24" s="5" t="s">
        <v>795</v>
      </c>
    </row>
    <row r="25" spans="1:8" x14ac:dyDescent="0.2">
      <c r="B25" s="5" t="s">
        <v>933</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934</v>
      </c>
    </row>
    <row r="32" spans="1:8" x14ac:dyDescent="0.2">
      <c r="D32" s="5" t="s">
        <v>703</v>
      </c>
    </row>
    <row r="33" spans="2:4" x14ac:dyDescent="0.2">
      <c r="D33" s="5" t="s">
        <v>704</v>
      </c>
    </row>
    <row r="34" spans="2:4" x14ac:dyDescent="0.2">
      <c r="D34" s="5" t="s">
        <v>705</v>
      </c>
    </row>
    <row r="35" spans="2:4" x14ac:dyDescent="0.2">
      <c r="D35" s="5" t="s">
        <v>711</v>
      </c>
    </row>
    <row r="36" spans="2:4" x14ac:dyDescent="0.2">
      <c r="D36" s="5" t="s">
        <v>712</v>
      </c>
    </row>
    <row r="37" spans="2:4" x14ac:dyDescent="0.2">
      <c r="B37" s="5" t="s">
        <v>935</v>
      </c>
    </row>
    <row r="38" spans="2:4" x14ac:dyDescent="0.2">
      <c r="D38" s="5" t="s">
        <v>936</v>
      </c>
    </row>
    <row r="39" spans="2:4" x14ac:dyDescent="0.2">
      <c r="D39" s="5" t="s">
        <v>834</v>
      </c>
    </row>
    <row r="40" spans="2:4" x14ac:dyDescent="0.2">
      <c r="D40" s="5" t="s">
        <v>937</v>
      </c>
    </row>
    <row r="41" spans="2:4" x14ac:dyDescent="0.2">
      <c r="D41" s="5" t="s">
        <v>760</v>
      </c>
    </row>
    <row r="42" spans="2:4" x14ac:dyDescent="0.2">
      <c r="D42" s="5" t="s">
        <v>795</v>
      </c>
    </row>
    <row r="43" spans="2:4" x14ac:dyDescent="0.2">
      <c r="B43" s="5" t="s">
        <v>938</v>
      </c>
    </row>
    <row r="44" spans="2:4" x14ac:dyDescent="0.2">
      <c r="D44" s="5" t="s">
        <v>703</v>
      </c>
    </row>
    <row r="45" spans="2:4" x14ac:dyDescent="0.2">
      <c r="D45" s="5" t="s">
        <v>704</v>
      </c>
    </row>
    <row r="46" spans="2:4" x14ac:dyDescent="0.2">
      <c r="D46" s="5" t="s">
        <v>705</v>
      </c>
    </row>
    <row r="47" spans="2:4" x14ac:dyDescent="0.2">
      <c r="D47" s="5" t="s">
        <v>711</v>
      </c>
    </row>
    <row r="48" spans="2:4" x14ac:dyDescent="0.2">
      <c r="D48" s="5" t="s">
        <v>712</v>
      </c>
    </row>
  </sheetData>
  <autoFilter ref="A18:H18"/>
  <conditionalFormatting sqref="C17">
    <cfRule type="cellIs" dxfId="155" priority="1" stopIfTrue="1" operator="equal">
      <formula>$B$10</formula>
    </cfRule>
    <cfRule type="cellIs" dxfId="154"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indexed="11"/>
  </sheetPr>
  <dimension ref="A1:H52"/>
  <sheetViews>
    <sheetView topLeftCell="A4" workbookViewId="0">
      <selection activeCell="F45" sqref="F45:H51"/>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35</v>
      </c>
      <c r="C2" s="15">
        <f>IF(ISERROR(VALUE(TRIM(CLEAN(MID(C20,FIND("(",C20)+1,FIND("/",C20,1)-FIND("(",C20)-1))))),0,VALUE(TRIM(CLEAN(MID(C20,FIND("(",C20)+1,FIND("/",C20,1)-FIND("(",C20)-1)))))</f>
        <v>33</v>
      </c>
    </row>
    <row r="3" spans="1:5" ht="22.5" x14ac:dyDescent="0.2">
      <c r="A3" s="20" t="s">
        <v>15</v>
      </c>
      <c r="B3" s="21">
        <f>IF(ISERROR(VALUE(TRIM(CLEAN(MID(C21,FIND("/",C21)+1,FIND(")",C21,1)-FIND("/",C21)-1))))),0,VALUE(TRIM(CLEAN(MID(C21,FIND("/",C21)+1,FIND(")",C21,1)-FIND("/",C21)-1)))))</f>
        <v>5</v>
      </c>
      <c r="C3" s="16">
        <f>IF(ISERROR(VALUE(TRIM(CLEAN(MID(C21,FIND("(",C21)+1,FIND("/",C21,1)-FIND("(",C21)-1))))),0,VALUE(TRIM(CLEAN(MID(C21,FIND("(",C21)+1,FIND("/",C21,1)-FIND("(",C21)-1)))))</f>
        <v>5</v>
      </c>
      <c r="E3" s="29" t="s">
        <v>1</v>
      </c>
    </row>
    <row r="4" spans="1:5" ht="22.5" x14ac:dyDescent="0.2">
      <c r="A4" s="20" t="s">
        <v>16</v>
      </c>
      <c r="B4" s="21">
        <f>IF(ISERROR(VALUE(TRIM(CLEAN(MID(C23,FIND("/",C23)+1,FIND(")",C23,1)-FIND("/",C23)-1))))),0,VALUE(TRIM(CLEAN(MID(C23,FIND("/",C23)+1,FIND(")",C23,1)-FIND("/",C23)-1)))))</f>
        <v>68</v>
      </c>
      <c r="C4" s="16">
        <f>IF(ISERROR(VALUE(TRIM(CLEAN(MID(C23,FIND("(",C23)+1,FIND("/",C23,1)-FIND("(",C23)-1))))),0,VALUE(TRIM(CLEAN(MID(C23,FIND("(",C23)+1,FIND("/",C23,1)-FIND("(",C23)-1)))))</f>
        <v>66</v>
      </c>
      <c r="E4" s="29" t="s">
        <v>2</v>
      </c>
    </row>
    <row r="5" spans="1:5" ht="22.5" x14ac:dyDescent="0.2">
      <c r="A5" s="20" t="s">
        <v>17</v>
      </c>
      <c r="B5" s="21">
        <f>IF(ISERROR(VALUE(TRIM(CLEAN(MID(C24,FIND("/",C24)+1,FIND(")",C24,1)-FIND("/",C24)-1))))),0,VALUE(TRIM(CLEAN(MID(C24,FIND("/",C24)+1,FIND(")",C24,1)-FIND("/",C24)-1)))))</f>
        <v>17</v>
      </c>
      <c r="C5" s="16">
        <f>IF(ISERROR(VALUE(TRIM(CLEAN(MID(C24,FIND("(",C24)+1,FIND("/",C24,1)-FIND("(",C24)-1))))),0,VALUE(TRIM(CLEAN(MID(C24,FIND("(",C24)+1,FIND("/",C24,1)-FIND("(",C24)-1)))))</f>
        <v>17</v>
      </c>
    </row>
    <row r="6" spans="1:5" x14ac:dyDescent="0.2">
      <c r="A6" s="20"/>
      <c r="B6" s="21"/>
      <c r="C6" s="16"/>
    </row>
    <row r="7" spans="1:5" ht="13.5" thickBot="1" x14ac:dyDescent="0.25">
      <c r="A7" s="22" t="s">
        <v>13</v>
      </c>
      <c r="B7" s="23">
        <f>SUM(B2:B5)</f>
        <v>125</v>
      </c>
      <c r="C7" s="17">
        <f>SUM(C2:C5)</f>
        <v>121</v>
      </c>
    </row>
    <row r="8" spans="1:5" x14ac:dyDescent="0.2">
      <c r="A8" s="12"/>
      <c r="B8" s="7"/>
      <c r="C8" s="7"/>
    </row>
    <row r="9" spans="1:5" ht="13.5" thickBot="1" x14ac:dyDescent="0.25">
      <c r="A9" s="10"/>
      <c r="B9" s="7"/>
      <c r="C9" s="7"/>
    </row>
    <row r="10" spans="1:5" ht="24" thickTop="1" thickBot="1" x14ac:dyDescent="0.25">
      <c r="A10" s="24" t="s">
        <v>18</v>
      </c>
      <c r="B10" s="26">
        <f>B7-C7</f>
        <v>4</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4</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4</v>
      </c>
    </row>
    <row r="18" spans="1:8" customFormat="1" ht="23.25" x14ac:dyDescent="0.25">
      <c r="A18" s="4" t="s">
        <v>3</v>
      </c>
      <c r="B18" s="6" t="s">
        <v>4</v>
      </c>
      <c r="C18" s="8" t="s">
        <v>6</v>
      </c>
      <c r="D18" s="8" t="s">
        <v>7</v>
      </c>
      <c r="E18" s="8" t="s">
        <v>5</v>
      </c>
      <c r="F18" s="3" t="s">
        <v>10</v>
      </c>
      <c r="G18" s="1" t="s">
        <v>9</v>
      </c>
      <c r="H18" s="2" t="s">
        <v>8</v>
      </c>
    </row>
    <row r="19" spans="1:8" x14ac:dyDescent="0.2">
      <c r="A19" s="5" t="s">
        <v>940</v>
      </c>
    </row>
    <row r="20" spans="1:8" x14ac:dyDescent="0.2">
      <c r="C20" s="5" t="s">
        <v>941</v>
      </c>
    </row>
    <row r="21" spans="1:8" x14ac:dyDescent="0.2">
      <c r="C21" s="5" t="s">
        <v>942</v>
      </c>
    </row>
    <row r="22" spans="1:8" x14ac:dyDescent="0.2">
      <c r="C22" s="5" t="s">
        <v>943</v>
      </c>
    </row>
    <row r="23" spans="1:8" x14ac:dyDescent="0.2">
      <c r="C23" s="5" t="s">
        <v>944</v>
      </c>
    </row>
    <row r="24" spans="1:8" x14ac:dyDescent="0.2">
      <c r="C24" s="5" t="s">
        <v>945</v>
      </c>
    </row>
    <row r="25" spans="1:8" x14ac:dyDescent="0.2">
      <c r="B25" s="5" t="s">
        <v>946</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947</v>
      </c>
    </row>
    <row r="32" spans="1:8" x14ac:dyDescent="0.2">
      <c r="D32" s="5" t="s">
        <v>703</v>
      </c>
    </row>
    <row r="33" spans="2:8" x14ac:dyDescent="0.2">
      <c r="D33" s="5" t="s">
        <v>704</v>
      </c>
    </row>
    <row r="34" spans="2:8" x14ac:dyDescent="0.2">
      <c r="D34" s="5" t="s">
        <v>705</v>
      </c>
    </row>
    <row r="35" spans="2:8" x14ac:dyDescent="0.2">
      <c r="D35" s="5" t="s">
        <v>711</v>
      </c>
    </row>
    <row r="36" spans="2:8" x14ac:dyDescent="0.2">
      <c r="D36" s="5" t="s">
        <v>712</v>
      </c>
    </row>
    <row r="37" spans="2:8" x14ac:dyDescent="0.2">
      <c r="B37" s="5" t="s">
        <v>948</v>
      </c>
    </row>
    <row r="38" spans="2:8" x14ac:dyDescent="0.2">
      <c r="D38" s="5" t="s">
        <v>703</v>
      </c>
    </row>
    <row r="39" spans="2:8" x14ac:dyDescent="0.2">
      <c r="D39" s="5" t="s">
        <v>704</v>
      </c>
    </row>
    <row r="40" spans="2:8" x14ac:dyDescent="0.2">
      <c r="D40" s="5" t="s">
        <v>705</v>
      </c>
    </row>
    <row r="41" spans="2:8" x14ac:dyDescent="0.2">
      <c r="D41" s="5" t="s">
        <v>711</v>
      </c>
    </row>
    <row r="42" spans="2:8" x14ac:dyDescent="0.2">
      <c r="D42" s="5" t="s">
        <v>712</v>
      </c>
    </row>
    <row r="43" spans="2:8" x14ac:dyDescent="0.2">
      <c r="B43" s="5" t="s">
        <v>949</v>
      </c>
    </row>
    <row r="44" spans="2:8" x14ac:dyDescent="0.2">
      <c r="D44" s="5" t="s">
        <v>950</v>
      </c>
    </row>
    <row r="45" spans="2:8" x14ac:dyDescent="0.2">
      <c r="E45" s="5" t="s">
        <v>951</v>
      </c>
      <c r="F45" s="5">
        <v>395</v>
      </c>
      <c r="G45" s="5" t="s">
        <v>23</v>
      </c>
      <c r="H45" s="5" t="s">
        <v>1925</v>
      </c>
    </row>
    <row r="46" spans="2:8" x14ac:dyDescent="0.2">
      <c r="E46" s="5" t="s">
        <v>952</v>
      </c>
      <c r="F46" s="5">
        <v>471</v>
      </c>
      <c r="G46" s="5" t="s">
        <v>23</v>
      </c>
      <c r="H46" s="5" t="s">
        <v>1925</v>
      </c>
    </row>
    <row r="47" spans="2:8" x14ac:dyDescent="0.2">
      <c r="D47" s="5" t="s">
        <v>942</v>
      </c>
    </row>
    <row r="48" spans="2:8" x14ac:dyDescent="0.2">
      <c r="D48" s="5" t="s">
        <v>953</v>
      </c>
    </row>
    <row r="49" spans="4:8" x14ac:dyDescent="0.2">
      <c r="D49" s="5" t="s">
        <v>944</v>
      </c>
    </row>
    <row r="50" spans="4:8" x14ac:dyDescent="0.2">
      <c r="E50" s="5" t="s">
        <v>954</v>
      </c>
      <c r="F50" s="5">
        <v>395</v>
      </c>
      <c r="G50" s="5" t="s">
        <v>23</v>
      </c>
      <c r="H50" s="5" t="s">
        <v>1925</v>
      </c>
    </row>
    <row r="51" spans="4:8" x14ac:dyDescent="0.2">
      <c r="E51" s="5" t="s">
        <v>955</v>
      </c>
      <c r="F51" s="5">
        <v>471</v>
      </c>
      <c r="G51" s="5" t="s">
        <v>23</v>
      </c>
      <c r="H51" s="5" t="s">
        <v>1925</v>
      </c>
    </row>
    <row r="52" spans="4:8" x14ac:dyDescent="0.2">
      <c r="D52" s="5" t="s">
        <v>945</v>
      </c>
    </row>
  </sheetData>
  <autoFilter ref="A18:H18"/>
  <conditionalFormatting sqref="C17">
    <cfRule type="cellIs" dxfId="153" priority="1" stopIfTrue="1" operator="equal">
      <formula>$B$10</formula>
    </cfRule>
    <cfRule type="cellIs" dxfId="152"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indexed="11"/>
  </sheetPr>
  <dimension ref="A1:H48"/>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4</v>
      </c>
      <c r="C2" s="15">
        <f>IF(ISERROR(VALUE(TRIM(CLEAN(MID(C20,FIND("(",C20)+1,FIND("/",C20,1)-FIND("(",C20)-1))))),0,VALUE(TRIM(CLEAN(MID(C20,FIND("(",C20)+1,FIND("/",C20,1)-FIND("(",C20)-1)))))</f>
        <v>4</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4</v>
      </c>
      <c r="C4" s="16">
        <f>IF(ISERROR(VALUE(TRIM(CLEAN(MID(C23,FIND("(",C23)+1,FIND("/",C23,1)-FIND("(",C23)-1))))),0,VALUE(TRIM(CLEAN(MID(C23,FIND("(",C23)+1,FIND("/",C23,1)-FIND("(",C23)-1)))))</f>
        <v>4</v>
      </c>
      <c r="E4" s="29" t="s">
        <v>2</v>
      </c>
    </row>
    <row r="5" spans="1:5" ht="22.5" x14ac:dyDescent="0.2">
      <c r="A5" s="20" t="s">
        <v>17</v>
      </c>
      <c r="B5" s="21">
        <f>IF(ISERROR(VALUE(TRIM(CLEAN(MID(C24,FIND("/",C24)+1,FIND(")",C24,1)-FIND("/",C24)-1))))),0,VALUE(TRIM(CLEAN(MID(C24,FIND("/",C24)+1,FIND(")",C24,1)-FIND("/",C24)-1)))))</f>
        <v>2</v>
      </c>
      <c r="C5" s="16">
        <f>IF(ISERROR(VALUE(TRIM(CLEAN(MID(C24,FIND("(",C24)+1,FIND("/",C24,1)-FIND("(",C24)-1))))),0,VALUE(TRIM(CLEAN(MID(C24,FIND("(",C24)+1,FIND("/",C24,1)-FIND("(",C24)-1)))))</f>
        <v>2</v>
      </c>
    </row>
    <row r="6" spans="1:5" x14ac:dyDescent="0.2">
      <c r="A6" s="20"/>
      <c r="B6" s="21"/>
      <c r="C6" s="16"/>
    </row>
    <row r="7" spans="1:5" ht="13.5" thickBot="1" x14ac:dyDescent="0.25">
      <c r="A7" s="22" t="s">
        <v>13</v>
      </c>
      <c r="B7" s="23">
        <f>SUM(B2:B5)</f>
        <v>10</v>
      </c>
      <c r="C7" s="17">
        <f>SUM(C2:C5)</f>
        <v>10</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957</v>
      </c>
    </row>
    <row r="20" spans="1:8" x14ac:dyDescent="0.2">
      <c r="C20" s="5" t="s">
        <v>877</v>
      </c>
    </row>
    <row r="21" spans="1:8" x14ac:dyDescent="0.2">
      <c r="C21" s="5" t="s">
        <v>704</v>
      </c>
    </row>
    <row r="22" spans="1:8" x14ac:dyDescent="0.2">
      <c r="C22" s="5" t="s">
        <v>878</v>
      </c>
    </row>
    <row r="23" spans="1:8" x14ac:dyDescent="0.2">
      <c r="C23" s="5" t="s">
        <v>706</v>
      </c>
    </row>
    <row r="24" spans="1:8" x14ac:dyDescent="0.2">
      <c r="C24" s="5" t="s">
        <v>707</v>
      </c>
    </row>
    <row r="25" spans="1:8" x14ac:dyDescent="0.2">
      <c r="B25" s="5" t="s">
        <v>958</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959</v>
      </c>
    </row>
    <row r="32" spans="1:8" x14ac:dyDescent="0.2">
      <c r="D32" s="5" t="s">
        <v>703</v>
      </c>
    </row>
    <row r="33" spans="2:4" x14ac:dyDescent="0.2">
      <c r="D33" s="5" t="s">
        <v>704</v>
      </c>
    </row>
    <row r="34" spans="2:4" x14ac:dyDescent="0.2">
      <c r="D34" s="5" t="s">
        <v>705</v>
      </c>
    </row>
    <row r="35" spans="2:4" x14ac:dyDescent="0.2">
      <c r="D35" s="5" t="s">
        <v>711</v>
      </c>
    </row>
    <row r="36" spans="2:4" x14ac:dyDescent="0.2">
      <c r="D36" s="5" t="s">
        <v>712</v>
      </c>
    </row>
    <row r="37" spans="2:4" x14ac:dyDescent="0.2">
      <c r="B37" s="5" t="s">
        <v>960</v>
      </c>
    </row>
    <row r="38" spans="2:4" x14ac:dyDescent="0.2">
      <c r="D38" s="5" t="s">
        <v>703</v>
      </c>
    </row>
    <row r="39" spans="2:4" x14ac:dyDescent="0.2">
      <c r="D39" s="5" t="s">
        <v>704</v>
      </c>
    </row>
    <row r="40" spans="2:4" x14ac:dyDescent="0.2">
      <c r="D40" s="5" t="s">
        <v>705</v>
      </c>
    </row>
    <row r="41" spans="2:4" x14ac:dyDescent="0.2">
      <c r="D41" s="5" t="s">
        <v>706</v>
      </c>
    </row>
    <row r="42" spans="2:4" x14ac:dyDescent="0.2">
      <c r="D42" s="5" t="s">
        <v>707</v>
      </c>
    </row>
    <row r="43" spans="2:4" x14ac:dyDescent="0.2">
      <c r="B43" s="5" t="s">
        <v>961</v>
      </c>
    </row>
    <row r="44" spans="2:4" x14ac:dyDescent="0.2">
      <c r="D44" s="5" t="s">
        <v>703</v>
      </c>
    </row>
    <row r="45" spans="2:4" x14ac:dyDescent="0.2">
      <c r="D45" s="5" t="s">
        <v>704</v>
      </c>
    </row>
    <row r="46" spans="2:4" x14ac:dyDescent="0.2">
      <c r="D46" s="5" t="s">
        <v>705</v>
      </c>
    </row>
    <row r="47" spans="2:4" x14ac:dyDescent="0.2">
      <c r="D47" s="5" t="s">
        <v>711</v>
      </c>
    </row>
    <row r="48" spans="2:4" x14ac:dyDescent="0.2">
      <c r="D48" s="5" t="s">
        <v>712</v>
      </c>
    </row>
  </sheetData>
  <autoFilter ref="A18:H18"/>
  <conditionalFormatting sqref="C17">
    <cfRule type="cellIs" dxfId="151" priority="1" stopIfTrue="1" operator="equal">
      <formula>$B$10</formula>
    </cfRule>
    <cfRule type="cellIs" dxfId="150"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indexed="11"/>
  </sheetPr>
  <dimension ref="A1:H50"/>
  <sheetViews>
    <sheetView topLeftCell="A10" workbookViewId="0">
      <selection activeCell="F45" sqref="F45:H49"/>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12</v>
      </c>
      <c r="C2" s="15">
        <f>IF(ISERROR(VALUE(TRIM(CLEAN(MID(C20,FIND("(",C20)+1,FIND("/",C20,1)-FIND("(",C20)-1))))),0,VALUE(TRIM(CLEAN(MID(C20,FIND("(",C20)+1,FIND("/",C20,1)-FIND("(",C20)-1)))))</f>
        <v>11</v>
      </c>
    </row>
    <row r="3" spans="1:5" ht="22.5" x14ac:dyDescent="0.2">
      <c r="A3" s="20" t="s">
        <v>15</v>
      </c>
      <c r="B3" s="21">
        <f>IF(ISERROR(VALUE(TRIM(CLEAN(MID(C21,FIND("/",C21)+1,FIND(")",C21,1)-FIND("/",C21)-1))))),0,VALUE(TRIM(CLEAN(MID(C21,FIND("/",C21)+1,FIND(")",C21,1)-FIND("/",C21)-1)))))</f>
        <v>1</v>
      </c>
      <c r="C3" s="16">
        <f>IF(ISERROR(VALUE(TRIM(CLEAN(MID(C21,FIND("(",C21)+1,FIND("/",C21,1)-FIND("(",C21)-1))))),0,VALUE(TRIM(CLEAN(MID(C21,FIND("(",C21)+1,FIND("/",C21,1)-FIND("(",C21)-1)))))</f>
        <v>1</v>
      </c>
      <c r="E3" s="29" t="s">
        <v>1</v>
      </c>
    </row>
    <row r="4" spans="1:5" ht="22.5" x14ac:dyDescent="0.2">
      <c r="A4" s="20" t="s">
        <v>16</v>
      </c>
      <c r="B4" s="21">
        <f>IF(ISERROR(VALUE(TRIM(CLEAN(MID(C23,FIND("/",C23)+1,FIND(")",C23,1)-FIND("/",C23)-1))))),0,VALUE(TRIM(CLEAN(MID(C23,FIND("/",C23)+1,FIND(")",C23,1)-FIND("/",C23)-1)))))</f>
        <v>13</v>
      </c>
      <c r="C4" s="16">
        <f>IF(ISERROR(VALUE(TRIM(CLEAN(MID(C23,FIND("(",C23)+1,FIND("/",C23,1)-FIND("(",C23)-1))))),0,VALUE(TRIM(CLEAN(MID(C23,FIND("(",C23)+1,FIND("/",C23,1)-FIND("(",C23)-1)))))</f>
        <v>12</v>
      </c>
      <c r="E4" s="29" t="s">
        <v>2</v>
      </c>
    </row>
    <row r="5" spans="1:5" ht="22.5" x14ac:dyDescent="0.2">
      <c r="A5" s="20" t="s">
        <v>17</v>
      </c>
      <c r="B5" s="21">
        <f>IF(ISERROR(VALUE(TRIM(CLEAN(MID(C24,FIND("/",C24)+1,FIND(")",C24,1)-FIND("/",C24)-1))))),0,VALUE(TRIM(CLEAN(MID(C24,FIND("/",C24)+1,FIND(")",C24,1)-FIND("/",C24)-1)))))</f>
        <v>2</v>
      </c>
      <c r="C5" s="16">
        <f>IF(ISERROR(VALUE(TRIM(CLEAN(MID(C24,FIND("(",C24)+1,FIND("/",C24,1)-FIND("(",C24)-1))))),0,VALUE(TRIM(CLEAN(MID(C24,FIND("(",C24)+1,FIND("/",C24,1)-FIND("(",C24)-1)))))</f>
        <v>2</v>
      </c>
    </row>
    <row r="6" spans="1:5" x14ac:dyDescent="0.2">
      <c r="A6" s="20"/>
      <c r="B6" s="21"/>
      <c r="C6" s="16"/>
    </row>
    <row r="7" spans="1:5" ht="13.5" thickBot="1" x14ac:dyDescent="0.25">
      <c r="A7" s="22" t="s">
        <v>13</v>
      </c>
      <c r="B7" s="23">
        <f>SUM(B2:B5)</f>
        <v>28</v>
      </c>
      <c r="C7" s="17">
        <f>SUM(C2:C5)</f>
        <v>26</v>
      </c>
    </row>
    <row r="8" spans="1:5" x14ac:dyDescent="0.2">
      <c r="A8" s="12"/>
      <c r="B8" s="7"/>
      <c r="C8" s="7"/>
    </row>
    <row r="9" spans="1:5" ht="13.5" thickBot="1" x14ac:dyDescent="0.25">
      <c r="A9" s="10"/>
      <c r="B9" s="7"/>
      <c r="C9" s="7"/>
    </row>
    <row r="10" spans="1:5" ht="24" thickTop="1" thickBot="1" x14ac:dyDescent="0.25">
      <c r="A10" s="24" t="s">
        <v>18</v>
      </c>
      <c r="B10" s="26">
        <f>B7-C7</f>
        <v>2</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2</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2</v>
      </c>
    </row>
    <row r="18" spans="1:8" customFormat="1" ht="23.25" x14ac:dyDescent="0.25">
      <c r="A18" s="4" t="s">
        <v>3</v>
      </c>
      <c r="B18" s="6" t="s">
        <v>4</v>
      </c>
      <c r="C18" s="8" t="s">
        <v>6</v>
      </c>
      <c r="D18" s="8" t="s">
        <v>7</v>
      </c>
      <c r="E18" s="8" t="s">
        <v>5</v>
      </c>
      <c r="F18" s="3" t="s">
        <v>10</v>
      </c>
      <c r="G18" s="1" t="s">
        <v>9</v>
      </c>
      <c r="H18" s="2" t="s">
        <v>8</v>
      </c>
    </row>
    <row r="19" spans="1:8" x14ac:dyDescent="0.2">
      <c r="A19" s="5" t="s">
        <v>963</v>
      </c>
    </row>
    <row r="20" spans="1:8" x14ac:dyDescent="0.2">
      <c r="C20" s="5" t="s">
        <v>964</v>
      </c>
    </row>
    <row r="21" spans="1:8" x14ac:dyDescent="0.2">
      <c r="C21" s="5" t="s">
        <v>859</v>
      </c>
    </row>
    <row r="22" spans="1:8" x14ac:dyDescent="0.2">
      <c r="C22" s="5" t="s">
        <v>965</v>
      </c>
    </row>
    <row r="23" spans="1:8" x14ac:dyDescent="0.2">
      <c r="C23" s="5" t="s">
        <v>966</v>
      </c>
    </row>
    <row r="24" spans="1:8" x14ac:dyDescent="0.2">
      <c r="C24" s="5" t="s">
        <v>707</v>
      </c>
    </row>
    <row r="25" spans="1:8" x14ac:dyDescent="0.2">
      <c r="B25" s="5" t="s">
        <v>967</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968</v>
      </c>
    </row>
    <row r="32" spans="1:8" x14ac:dyDescent="0.2">
      <c r="D32" s="5" t="s">
        <v>703</v>
      </c>
    </row>
    <row r="33" spans="2:8" x14ac:dyDescent="0.2">
      <c r="D33" s="5" t="s">
        <v>704</v>
      </c>
    </row>
    <row r="34" spans="2:8" x14ac:dyDescent="0.2">
      <c r="D34" s="5" t="s">
        <v>705</v>
      </c>
    </row>
    <row r="35" spans="2:8" x14ac:dyDescent="0.2">
      <c r="D35" s="5" t="s">
        <v>711</v>
      </c>
    </row>
    <row r="36" spans="2:8" x14ac:dyDescent="0.2">
      <c r="D36" s="5" t="s">
        <v>712</v>
      </c>
    </row>
    <row r="37" spans="2:8" x14ac:dyDescent="0.2">
      <c r="B37" s="5" t="s">
        <v>969</v>
      </c>
    </row>
    <row r="38" spans="2:8" x14ac:dyDescent="0.2">
      <c r="D38" s="5" t="s">
        <v>703</v>
      </c>
    </row>
    <row r="39" spans="2:8" x14ac:dyDescent="0.2">
      <c r="D39" s="5" t="s">
        <v>704</v>
      </c>
    </row>
    <row r="40" spans="2:8" x14ac:dyDescent="0.2">
      <c r="D40" s="5" t="s">
        <v>705</v>
      </c>
    </row>
    <row r="41" spans="2:8" x14ac:dyDescent="0.2">
      <c r="D41" s="5" t="s">
        <v>711</v>
      </c>
    </row>
    <row r="42" spans="2:8" x14ac:dyDescent="0.2">
      <c r="D42" s="5" t="s">
        <v>712</v>
      </c>
    </row>
    <row r="43" spans="2:8" x14ac:dyDescent="0.2">
      <c r="B43" s="5" t="s">
        <v>970</v>
      </c>
    </row>
    <row r="44" spans="2:8" x14ac:dyDescent="0.2">
      <c r="D44" s="5" t="s">
        <v>971</v>
      </c>
    </row>
    <row r="45" spans="2:8" x14ac:dyDescent="0.2">
      <c r="E45" s="5" t="s">
        <v>972</v>
      </c>
      <c r="F45" s="5">
        <v>201</v>
      </c>
      <c r="G45" s="5" t="s">
        <v>23</v>
      </c>
      <c r="H45" s="5" t="s">
        <v>1925</v>
      </c>
    </row>
    <row r="46" spans="2:8" x14ac:dyDescent="0.2">
      <c r="D46" s="5" t="s">
        <v>859</v>
      </c>
    </row>
    <row r="47" spans="2:8" x14ac:dyDescent="0.2">
      <c r="D47" s="5" t="s">
        <v>973</v>
      </c>
    </row>
    <row r="48" spans="2:8" x14ac:dyDescent="0.2">
      <c r="D48" s="5" t="s">
        <v>966</v>
      </c>
    </row>
    <row r="49" spans="4:8" x14ac:dyDescent="0.2">
      <c r="E49" s="5" t="s">
        <v>974</v>
      </c>
      <c r="F49" s="5">
        <v>201</v>
      </c>
      <c r="G49" s="5" t="s">
        <v>23</v>
      </c>
      <c r="H49" s="5" t="s">
        <v>1925</v>
      </c>
    </row>
    <row r="50" spans="4:8" x14ac:dyDescent="0.2">
      <c r="D50" s="5" t="s">
        <v>707</v>
      </c>
    </row>
  </sheetData>
  <autoFilter ref="A18:H18"/>
  <conditionalFormatting sqref="C17">
    <cfRule type="cellIs" dxfId="149" priority="1" stopIfTrue="1" operator="equal">
      <formula>$B$10</formula>
    </cfRule>
    <cfRule type="cellIs" dxfId="148"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indexed="11"/>
  </sheetPr>
  <dimension ref="A1:H50"/>
  <sheetViews>
    <sheetView topLeftCell="A10" workbookViewId="0">
      <selection activeCell="E43" sqref="E43"/>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12</v>
      </c>
      <c r="C2" s="15">
        <f>IF(ISERROR(VALUE(TRIM(CLEAN(MID(C20,FIND("(",C20)+1,FIND("/",C20,1)-FIND("(",C20)-1))))),0,VALUE(TRIM(CLEAN(MID(C20,FIND("(",C20)+1,FIND("/",C20,1)-FIND("(",C20)-1)))))</f>
        <v>11</v>
      </c>
    </row>
    <row r="3" spans="1:5" ht="22.5" x14ac:dyDescent="0.2">
      <c r="A3" s="20" t="s">
        <v>15</v>
      </c>
      <c r="B3" s="21">
        <f>IF(ISERROR(VALUE(TRIM(CLEAN(MID(C21,FIND("/",C21)+1,FIND(")",C21,1)-FIND("/",C21)-1))))),0,VALUE(TRIM(CLEAN(MID(C21,FIND("/",C21)+1,FIND(")",C21,1)-FIND("/",C21)-1)))))</f>
        <v>1</v>
      </c>
      <c r="C3" s="16">
        <f>IF(ISERROR(VALUE(TRIM(CLEAN(MID(C21,FIND("(",C21)+1,FIND("/",C21,1)-FIND("(",C21)-1))))),0,VALUE(TRIM(CLEAN(MID(C21,FIND("(",C21)+1,FIND("/",C21,1)-FIND("(",C21)-1)))))</f>
        <v>1</v>
      </c>
      <c r="E3" s="29" t="s">
        <v>1</v>
      </c>
    </row>
    <row r="4" spans="1:5" ht="22.5" x14ac:dyDescent="0.2">
      <c r="A4" s="20" t="s">
        <v>16</v>
      </c>
      <c r="B4" s="21">
        <f>IF(ISERROR(VALUE(TRIM(CLEAN(MID(C23,FIND("/",C23)+1,FIND(")",C23,1)-FIND("/",C23)-1))))),0,VALUE(TRIM(CLEAN(MID(C23,FIND("/",C23)+1,FIND(")",C23,1)-FIND("/",C23)-1)))))</f>
        <v>13</v>
      </c>
      <c r="C4" s="16">
        <f>IF(ISERROR(VALUE(TRIM(CLEAN(MID(C23,FIND("(",C23)+1,FIND("/",C23,1)-FIND("(",C23)-1))))),0,VALUE(TRIM(CLEAN(MID(C23,FIND("(",C23)+1,FIND("/",C23,1)-FIND("(",C23)-1)))))</f>
        <v>12</v>
      </c>
      <c r="E4" s="29" t="s">
        <v>2</v>
      </c>
    </row>
    <row r="5" spans="1:5" ht="22.5" x14ac:dyDescent="0.2">
      <c r="A5" s="20" t="s">
        <v>17</v>
      </c>
      <c r="B5" s="21">
        <f>IF(ISERROR(VALUE(TRIM(CLEAN(MID(C24,FIND("/",C24)+1,FIND(")",C24,1)-FIND("/",C24)-1))))),0,VALUE(TRIM(CLEAN(MID(C24,FIND("/",C24)+1,FIND(")",C24,1)-FIND("/",C24)-1)))))</f>
        <v>2</v>
      </c>
      <c r="C5" s="16">
        <f>IF(ISERROR(VALUE(TRIM(CLEAN(MID(C24,FIND("(",C24)+1,FIND("/",C24,1)-FIND("(",C24)-1))))),0,VALUE(TRIM(CLEAN(MID(C24,FIND("(",C24)+1,FIND("/",C24,1)-FIND("(",C24)-1)))))</f>
        <v>2</v>
      </c>
    </row>
    <row r="6" spans="1:5" x14ac:dyDescent="0.2">
      <c r="A6" s="20"/>
      <c r="B6" s="21"/>
      <c r="C6" s="16"/>
    </row>
    <row r="7" spans="1:5" ht="13.5" thickBot="1" x14ac:dyDescent="0.25">
      <c r="A7" s="22" t="s">
        <v>13</v>
      </c>
      <c r="B7" s="23">
        <f>SUM(B2:B5)</f>
        <v>28</v>
      </c>
      <c r="C7" s="17">
        <f>SUM(C2:C5)</f>
        <v>26</v>
      </c>
    </row>
    <row r="8" spans="1:5" x14ac:dyDescent="0.2">
      <c r="A8" s="12"/>
      <c r="B8" s="7"/>
      <c r="C8" s="7"/>
    </row>
    <row r="9" spans="1:5" ht="13.5" thickBot="1" x14ac:dyDescent="0.25">
      <c r="A9" s="10"/>
      <c r="B9" s="7"/>
      <c r="C9" s="7"/>
    </row>
    <row r="10" spans="1:5" ht="24" thickTop="1" thickBot="1" x14ac:dyDescent="0.25">
      <c r="A10" s="24" t="s">
        <v>18</v>
      </c>
      <c r="B10" s="26">
        <f>B7-C7</f>
        <v>2</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2</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2</v>
      </c>
    </row>
    <row r="18" spans="1:8" customFormat="1" ht="23.25" x14ac:dyDescent="0.25">
      <c r="A18" s="4" t="s">
        <v>3</v>
      </c>
      <c r="B18" s="6" t="s">
        <v>4</v>
      </c>
      <c r="C18" s="8" t="s">
        <v>6</v>
      </c>
      <c r="D18" s="8" t="s">
        <v>7</v>
      </c>
      <c r="E18" s="8" t="s">
        <v>5</v>
      </c>
      <c r="F18" s="3" t="s">
        <v>10</v>
      </c>
      <c r="G18" s="1" t="s">
        <v>9</v>
      </c>
      <c r="H18" s="2" t="s">
        <v>8</v>
      </c>
    </row>
    <row r="19" spans="1:8" x14ac:dyDescent="0.2">
      <c r="A19" s="5" t="s">
        <v>976</v>
      </c>
    </row>
    <row r="20" spans="1:8" x14ac:dyDescent="0.2">
      <c r="C20" s="5" t="s">
        <v>964</v>
      </c>
    </row>
    <row r="21" spans="1:8" x14ac:dyDescent="0.2">
      <c r="C21" s="5" t="s">
        <v>859</v>
      </c>
    </row>
    <row r="22" spans="1:8" x14ac:dyDescent="0.2">
      <c r="C22" s="5" t="s">
        <v>965</v>
      </c>
    </row>
    <row r="23" spans="1:8" x14ac:dyDescent="0.2">
      <c r="C23" s="5" t="s">
        <v>966</v>
      </c>
    </row>
    <row r="24" spans="1:8" x14ac:dyDescent="0.2">
      <c r="C24" s="5" t="s">
        <v>707</v>
      </c>
    </row>
    <row r="25" spans="1:8" x14ac:dyDescent="0.2">
      <c r="B25" s="5" t="s">
        <v>977</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978</v>
      </c>
    </row>
    <row r="32" spans="1:8" x14ac:dyDescent="0.2">
      <c r="D32" s="5" t="s">
        <v>703</v>
      </c>
    </row>
    <row r="33" spans="2:8" x14ac:dyDescent="0.2">
      <c r="D33" s="5" t="s">
        <v>704</v>
      </c>
    </row>
    <row r="34" spans="2:8" x14ac:dyDescent="0.2">
      <c r="D34" s="5" t="s">
        <v>705</v>
      </c>
    </row>
    <row r="35" spans="2:8" x14ac:dyDescent="0.2">
      <c r="D35" s="5" t="s">
        <v>711</v>
      </c>
    </row>
    <row r="36" spans="2:8" x14ac:dyDescent="0.2">
      <c r="D36" s="5" t="s">
        <v>712</v>
      </c>
    </row>
    <row r="37" spans="2:8" x14ac:dyDescent="0.2">
      <c r="B37" s="5" t="s">
        <v>979</v>
      </c>
    </row>
    <row r="38" spans="2:8" x14ac:dyDescent="0.2">
      <c r="D38" s="5" t="s">
        <v>703</v>
      </c>
    </row>
    <row r="39" spans="2:8" x14ac:dyDescent="0.2">
      <c r="D39" s="5" t="s">
        <v>704</v>
      </c>
    </row>
    <row r="40" spans="2:8" x14ac:dyDescent="0.2">
      <c r="D40" s="5" t="s">
        <v>705</v>
      </c>
    </row>
    <row r="41" spans="2:8" x14ac:dyDescent="0.2">
      <c r="D41" s="5" t="s">
        <v>711</v>
      </c>
    </row>
    <row r="42" spans="2:8" x14ac:dyDescent="0.2">
      <c r="D42" s="5" t="s">
        <v>712</v>
      </c>
    </row>
    <row r="43" spans="2:8" x14ac:dyDescent="0.2">
      <c r="B43" s="5" t="s">
        <v>980</v>
      </c>
    </row>
    <row r="44" spans="2:8" x14ac:dyDescent="0.2">
      <c r="D44" s="5" t="s">
        <v>971</v>
      </c>
    </row>
    <row r="45" spans="2:8" x14ac:dyDescent="0.2">
      <c r="E45" s="5" t="s">
        <v>981</v>
      </c>
      <c r="F45" s="5">
        <v>200</v>
      </c>
      <c r="G45" s="5" t="s">
        <v>23</v>
      </c>
      <c r="H45" s="5" t="s">
        <v>1925</v>
      </c>
    </row>
    <row r="46" spans="2:8" x14ac:dyDescent="0.2">
      <c r="D46" s="5" t="s">
        <v>859</v>
      </c>
    </row>
    <row r="47" spans="2:8" x14ac:dyDescent="0.2">
      <c r="D47" s="5" t="s">
        <v>973</v>
      </c>
    </row>
    <row r="48" spans="2:8" x14ac:dyDescent="0.2">
      <c r="D48" s="5" t="s">
        <v>966</v>
      </c>
    </row>
    <row r="49" spans="4:8" x14ac:dyDescent="0.2">
      <c r="E49" s="5" t="s">
        <v>982</v>
      </c>
      <c r="F49" s="5">
        <v>200</v>
      </c>
      <c r="G49" s="5" t="s">
        <v>23</v>
      </c>
      <c r="H49" s="5" t="s">
        <v>1925</v>
      </c>
    </row>
    <row r="50" spans="4:8" x14ac:dyDescent="0.2">
      <c r="D50" s="5" t="s">
        <v>707</v>
      </c>
    </row>
  </sheetData>
  <autoFilter ref="A18:H18"/>
  <conditionalFormatting sqref="C17">
    <cfRule type="cellIs" dxfId="147" priority="1" stopIfTrue="1" operator="equal">
      <formula>$B$10</formula>
    </cfRule>
    <cfRule type="cellIs" dxfId="146"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indexed="11"/>
  </sheetPr>
  <dimension ref="A1:H48"/>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204</v>
      </c>
      <c r="C2" s="15">
        <f>IF(ISERROR(VALUE(TRIM(CLEAN(MID(C20,FIND("(",C20)+1,FIND("/",C20,1)-FIND("(",C20)-1))))),0,VALUE(TRIM(CLEAN(MID(C20,FIND("(",C20)+1,FIND("/",C20,1)-FIND("(",C20)-1)))))</f>
        <v>204</v>
      </c>
    </row>
    <row r="3" spans="1:5" ht="22.5" x14ac:dyDescent="0.2">
      <c r="A3" s="20" t="s">
        <v>15</v>
      </c>
      <c r="B3" s="21">
        <f>IF(ISERROR(VALUE(TRIM(CLEAN(MID(C21,FIND("/",C21)+1,FIND(")",C21,1)-FIND("/",C21)-1))))),0,VALUE(TRIM(CLEAN(MID(C21,FIND("/",C21)+1,FIND(")",C21,1)-FIND("/",C21)-1)))))</f>
        <v>1</v>
      </c>
      <c r="C3" s="16">
        <f>IF(ISERROR(VALUE(TRIM(CLEAN(MID(C21,FIND("(",C21)+1,FIND("/",C21,1)-FIND("(",C21)-1))))),0,VALUE(TRIM(CLEAN(MID(C21,FIND("(",C21)+1,FIND("/",C21,1)-FIND("(",C21)-1)))))</f>
        <v>1</v>
      </c>
      <c r="E3" s="29" t="s">
        <v>1</v>
      </c>
    </row>
    <row r="4" spans="1:5" ht="22.5" x14ac:dyDescent="0.2">
      <c r="A4" s="20" t="s">
        <v>16</v>
      </c>
      <c r="B4" s="21">
        <f>IF(ISERROR(VALUE(TRIM(CLEAN(MID(C23,FIND("/",C23)+1,FIND(")",C23,1)-FIND("/",C23)-1))))),0,VALUE(TRIM(CLEAN(MID(C23,FIND("/",C23)+1,FIND(")",C23,1)-FIND("/",C23)-1)))))</f>
        <v>201</v>
      </c>
      <c r="C4" s="16">
        <f>IF(ISERROR(VALUE(TRIM(CLEAN(MID(C23,FIND("(",C23)+1,FIND("/",C23,1)-FIND("(",C23)-1))))),0,VALUE(TRIM(CLEAN(MID(C23,FIND("(",C23)+1,FIND("/",C23,1)-FIND("(",C23)-1)))))</f>
        <v>201</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406</v>
      </c>
      <c r="C7" s="17">
        <f>SUM(C2:C5)</f>
        <v>406</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984</v>
      </c>
    </row>
    <row r="20" spans="1:8" x14ac:dyDescent="0.2">
      <c r="C20" s="5" t="s">
        <v>985</v>
      </c>
    </row>
    <row r="21" spans="1:8" x14ac:dyDescent="0.2">
      <c r="C21" s="5" t="s">
        <v>859</v>
      </c>
    </row>
    <row r="22" spans="1:8" x14ac:dyDescent="0.2">
      <c r="C22" s="5" t="s">
        <v>986</v>
      </c>
    </row>
    <row r="23" spans="1:8" x14ac:dyDescent="0.2">
      <c r="C23" s="5" t="s">
        <v>987</v>
      </c>
    </row>
    <row r="24" spans="1:8" x14ac:dyDescent="0.2">
      <c r="C24" s="5" t="s">
        <v>712</v>
      </c>
    </row>
    <row r="25" spans="1:8" x14ac:dyDescent="0.2">
      <c r="B25" s="5" t="s">
        <v>988</v>
      </c>
    </row>
    <row r="26" spans="1:8" x14ac:dyDescent="0.2">
      <c r="D26" s="5" t="s">
        <v>989</v>
      </c>
    </row>
    <row r="27" spans="1:8" x14ac:dyDescent="0.2">
      <c r="D27" s="5" t="s">
        <v>859</v>
      </c>
    </row>
    <row r="28" spans="1:8" x14ac:dyDescent="0.2">
      <c r="D28" s="5" t="s">
        <v>990</v>
      </c>
    </row>
    <row r="29" spans="1:8" x14ac:dyDescent="0.2">
      <c r="D29" s="5" t="s">
        <v>987</v>
      </c>
    </row>
    <row r="30" spans="1:8" x14ac:dyDescent="0.2">
      <c r="D30" s="5" t="s">
        <v>712</v>
      </c>
    </row>
    <row r="31" spans="1:8" x14ac:dyDescent="0.2">
      <c r="B31" s="5" t="s">
        <v>991</v>
      </c>
    </row>
    <row r="32" spans="1:8" x14ac:dyDescent="0.2">
      <c r="D32" s="5" t="s">
        <v>703</v>
      </c>
    </row>
    <row r="33" spans="2:4" x14ac:dyDescent="0.2">
      <c r="D33" s="5" t="s">
        <v>704</v>
      </c>
    </row>
    <row r="34" spans="2:4" x14ac:dyDescent="0.2">
      <c r="D34" s="5" t="s">
        <v>705</v>
      </c>
    </row>
    <row r="35" spans="2:4" x14ac:dyDescent="0.2">
      <c r="D35" s="5" t="s">
        <v>711</v>
      </c>
    </row>
    <row r="36" spans="2:4" x14ac:dyDescent="0.2">
      <c r="D36" s="5" t="s">
        <v>712</v>
      </c>
    </row>
    <row r="37" spans="2:4" x14ac:dyDescent="0.2">
      <c r="B37" s="5" t="s">
        <v>992</v>
      </c>
    </row>
    <row r="38" spans="2:4" x14ac:dyDescent="0.2">
      <c r="D38" s="5" t="s">
        <v>703</v>
      </c>
    </row>
    <row r="39" spans="2:4" x14ac:dyDescent="0.2">
      <c r="D39" s="5" t="s">
        <v>704</v>
      </c>
    </row>
    <row r="40" spans="2:4" x14ac:dyDescent="0.2">
      <c r="D40" s="5" t="s">
        <v>705</v>
      </c>
    </row>
    <row r="41" spans="2:4" x14ac:dyDescent="0.2">
      <c r="D41" s="5" t="s">
        <v>711</v>
      </c>
    </row>
    <row r="42" spans="2:4" x14ac:dyDescent="0.2">
      <c r="D42" s="5" t="s">
        <v>712</v>
      </c>
    </row>
    <row r="43" spans="2:4" x14ac:dyDescent="0.2">
      <c r="B43" s="5" t="s">
        <v>993</v>
      </c>
    </row>
    <row r="44" spans="2:4" x14ac:dyDescent="0.2">
      <c r="D44" s="5" t="s">
        <v>703</v>
      </c>
    </row>
    <row r="45" spans="2:4" x14ac:dyDescent="0.2">
      <c r="D45" s="5" t="s">
        <v>704</v>
      </c>
    </row>
    <row r="46" spans="2:4" x14ac:dyDescent="0.2">
      <c r="D46" s="5" t="s">
        <v>705</v>
      </c>
    </row>
    <row r="47" spans="2:4" x14ac:dyDescent="0.2">
      <c r="D47" s="5" t="s">
        <v>711</v>
      </c>
    </row>
    <row r="48" spans="2:4" x14ac:dyDescent="0.2">
      <c r="D48" s="5" t="s">
        <v>712</v>
      </c>
    </row>
  </sheetData>
  <autoFilter ref="A18:H18"/>
  <conditionalFormatting sqref="C17">
    <cfRule type="cellIs" dxfId="145" priority="1" stopIfTrue="1" operator="equal">
      <formula>$B$10</formula>
    </cfRule>
    <cfRule type="cellIs" dxfId="144"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6</v>
      </c>
      <c r="C2" s="15">
        <f>IF(ISERROR(VALUE(TRIM(CLEAN(MID(C20,FIND("(",C20)+1,FIND("/",C20,1)-FIND("(",C20)-1))))),0,VALUE(TRIM(CLEAN(MID(C20,FIND("(",C20)+1,FIND("/",C20,1)-FIND("(",C20)-1)))))</f>
        <v>6</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12</v>
      </c>
      <c r="C4" s="16">
        <f>IF(ISERROR(VALUE(TRIM(CLEAN(MID(C23,FIND("(",C23)+1,FIND("/",C23,1)-FIND("(",C23)-1))))),0,VALUE(TRIM(CLEAN(MID(C23,FIND("(",C23)+1,FIND("/",C23,1)-FIND("(",C23)-1)))))</f>
        <v>12</v>
      </c>
      <c r="E4" s="29" t="s">
        <v>2</v>
      </c>
    </row>
    <row r="5" spans="1:5" ht="22.5" x14ac:dyDescent="0.2">
      <c r="A5" s="20" t="s">
        <v>17</v>
      </c>
      <c r="B5" s="21">
        <f>IF(ISERROR(VALUE(TRIM(CLEAN(MID(C24,FIND("/",C24)+1,FIND(")",C24,1)-FIND("/",C24)-1))))),0,VALUE(TRIM(CLEAN(MID(C24,FIND("/",C24)+1,FIND(")",C24,1)-FIND("/",C24)-1)))))</f>
        <v>4</v>
      </c>
      <c r="C5" s="16">
        <f>IF(ISERROR(VALUE(TRIM(CLEAN(MID(C24,FIND("(",C24)+1,FIND("/",C24,1)-FIND("(",C24)-1))))),0,VALUE(TRIM(CLEAN(MID(C24,FIND("(",C24)+1,FIND("/",C24,1)-FIND("(",C24)-1)))))</f>
        <v>4</v>
      </c>
    </row>
    <row r="6" spans="1:5" x14ac:dyDescent="0.2">
      <c r="A6" s="20"/>
      <c r="B6" s="21"/>
      <c r="C6" s="16"/>
    </row>
    <row r="7" spans="1:5" ht="13.5" thickBot="1" x14ac:dyDescent="0.25">
      <c r="A7" s="22" t="s">
        <v>13</v>
      </c>
      <c r="B7" s="23">
        <f>SUM(B2:B5)</f>
        <v>22</v>
      </c>
      <c r="C7" s="17">
        <f>SUM(C2:C5)</f>
        <v>22</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995</v>
      </c>
    </row>
    <row r="20" spans="1:8" x14ac:dyDescent="0.2">
      <c r="C20" s="5" t="s">
        <v>886</v>
      </c>
    </row>
    <row r="21" spans="1:8" x14ac:dyDescent="0.2">
      <c r="C21" s="5" t="s">
        <v>704</v>
      </c>
    </row>
    <row r="22" spans="1:8" x14ac:dyDescent="0.2">
      <c r="C22" s="5" t="s">
        <v>887</v>
      </c>
    </row>
    <row r="23" spans="1:8" x14ac:dyDescent="0.2">
      <c r="C23" s="5" t="s">
        <v>794</v>
      </c>
    </row>
    <row r="24" spans="1:8" x14ac:dyDescent="0.2">
      <c r="C24" s="5" t="s">
        <v>744</v>
      </c>
    </row>
    <row r="25" spans="1:8" x14ac:dyDescent="0.2">
      <c r="B25" s="5" t="s">
        <v>996</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997</v>
      </c>
    </row>
    <row r="32" spans="1:8" x14ac:dyDescent="0.2">
      <c r="D32" s="5" t="s">
        <v>864</v>
      </c>
    </row>
    <row r="33" spans="4:4" x14ac:dyDescent="0.2">
      <c r="D33" s="5" t="s">
        <v>704</v>
      </c>
    </row>
    <row r="34" spans="4:4" x14ac:dyDescent="0.2">
      <c r="D34" s="5" t="s">
        <v>865</v>
      </c>
    </row>
    <row r="35" spans="4:4" x14ac:dyDescent="0.2">
      <c r="D35" s="5" t="s">
        <v>794</v>
      </c>
    </row>
    <row r="36" spans="4:4" x14ac:dyDescent="0.2">
      <c r="D36" s="5" t="s">
        <v>744</v>
      </c>
    </row>
  </sheetData>
  <autoFilter ref="A18:H18"/>
  <conditionalFormatting sqref="C17">
    <cfRule type="cellIs" dxfId="143" priority="1" stopIfTrue="1" operator="equal">
      <formula>$B$10</formula>
    </cfRule>
    <cfRule type="cellIs" dxfId="142"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2</v>
      </c>
      <c r="C2" s="15">
        <f>IF(ISERROR(VALUE(TRIM(CLEAN(MID(C20,FIND("(",C20)+1,FIND("/",C20,1)-FIND("(",C20)-1))))),0,VALUE(TRIM(CLEAN(MID(C20,FIND("(",C20)+1,FIND("/",C20,1)-FIND("(",C20)-1)))))</f>
        <v>2</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8</v>
      </c>
      <c r="C4" s="16">
        <f>IF(ISERROR(VALUE(TRIM(CLEAN(MID(C23,FIND("(",C23)+1,FIND("/",C23,1)-FIND("(",C23)-1))))),0,VALUE(TRIM(CLEAN(MID(C23,FIND("(",C23)+1,FIND("/",C23,1)-FIND("(",C23)-1)))))</f>
        <v>8</v>
      </c>
      <c r="E4" s="29" t="s">
        <v>2</v>
      </c>
    </row>
    <row r="5" spans="1:5" ht="22.5" x14ac:dyDescent="0.2">
      <c r="A5" s="20" t="s">
        <v>17</v>
      </c>
      <c r="B5" s="21">
        <f>IF(ISERROR(VALUE(TRIM(CLEAN(MID(C24,FIND("/",C24)+1,FIND(")",C24,1)-FIND("/",C24)-1))))),0,VALUE(TRIM(CLEAN(MID(C24,FIND("/",C24)+1,FIND(")",C24,1)-FIND("/",C24)-1)))))</f>
        <v>4</v>
      </c>
      <c r="C5" s="16">
        <f>IF(ISERROR(VALUE(TRIM(CLEAN(MID(C24,FIND("(",C24)+1,FIND("/",C24,1)-FIND("(",C24)-1))))),0,VALUE(TRIM(CLEAN(MID(C24,FIND("(",C24)+1,FIND("/",C24,1)-FIND("(",C24)-1)))))</f>
        <v>4</v>
      </c>
    </row>
    <row r="6" spans="1:5" x14ac:dyDescent="0.2">
      <c r="A6" s="20"/>
      <c r="B6" s="21"/>
      <c r="C6" s="16"/>
    </row>
    <row r="7" spans="1:5" ht="13.5" thickBot="1" x14ac:dyDescent="0.25">
      <c r="A7" s="22" t="s">
        <v>13</v>
      </c>
      <c r="B7" s="23">
        <f>SUM(B2:B5)</f>
        <v>14</v>
      </c>
      <c r="C7" s="17">
        <f>SUM(C2:C5)</f>
        <v>14</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999</v>
      </c>
    </row>
    <row r="20" spans="1:8" x14ac:dyDescent="0.2">
      <c r="C20" s="5" t="s">
        <v>1000</v>
      </c>
    </row>
    <row r="21" spans="1:8" x14ac:dyDescent="0.2">
      <c r="C21" s="5" t="s">
        <v>704</v>
      </c>
    </row>
    <row r="22" spans="1:8" x14ac:dyDescent="0.2">
      <c r="C22" s="5" t="s">
        <v>1001</v>
      </c>
    </row>
    <row r="23" spans="1:8" x14ac:dyDescent="0.2">
      <c r="C23" s="5" t="s">
        <v>743</v>
      </c>
    </row>
    <row r="24" spans="1:8" x14ac:dyDescent="0.2">
      <c r="C24" s="5" t="s">
        <v>744</v>
      </c>
    </row>
    <row r="25" spans="1:8" x14ac:dyDescent="0.2">
      <c r="B25" s="5" t="s">
        <v>1002</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1003</v>
      </c>
    </row>
    <row r="32" spans="1:8" x14ac:dyDescent="0.2">
      <c r="D32" s="5" t="s">
        <v>703</v>
      </c>
    </row>
    <row r="33" spans="4:4" x14ac:dyDescent="0.2">
      <c r="D33" s="5" t="s">
        <v>704</v>
      </c>
    </row>
    <row r="34" spans="4:4" x14ac:dyDescent="0.2">
      <c r="D34" s="5" t="s">
        <v>705</v>
      </c>
    </row>
    <row r="35" spans="4:4" x14ac:dyDescent="0.2">
      <c r="D35" s="5" t="s">
        <v>743</v>
      </c>
    </row>
    <row r="36" spans="4:4" x14ac:dyDescent="0.2">
      <c r="D36" s="5" t="s">
        <v>744</v>
      </c>
    </row>
  </sheetData>
  <autoFilter ref="A18:H18"/>
  <conditionalFormatting sqref="C17">
    <cfRule type="cellIs" dxfId="141" priority="1" stopIfTrue="1" operator="equal">
      <formula>$B$10</formula>
    </cfRule>
    <cfRule type="cellIs" dxfId="140"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2</v>
      </c>
      <c r="C2" s="15">
        <f>IF(ISERROR(VALUE(TRIM(CLEAN(MID(C20,FIND("(",C20)+1,FIND("/",C20,1)-FIND("(",C20)-1))))),0,VALUE(TRIM(CLEAN(MID(C20,FIND("(",C20)+1,FIND("/",C20,1)-FIND("(",C20)-1)))))</f>
        <v>2</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16</v>
      </c>
      <c r="C4" s="16">
        <f>IF(ISERROR(VALUE(TRIM(CLEAN(MID(C23,FIND("(",C23)+1,FIND("/",C23,1)-FIND("(",C23)-1))))),0,VALUE(TRIM(CLEAN(MID(C23,FIND("(",C23)+1,FIND("/",C23,1)-FIND("(",C23)-1)))))</f>
        <v>16</v>
      </c>
      <c r="E4" s="29" t="s">
        <v>2</v>
      </c>
    </row>
    <row r="5" spans="1:5" ht="22.5" x14ac:dyDescent="0.2">
      <c r="A5" s="20" t="s">
        <v>17</v>
      </c>
      <c r="B5" s="21">
        <f>IF(ISERROR(VALUE(TRIM(CLEAN(MID(C24,FIND("/",C24)+1,FIND(")",C24,1)-FIND("/",C24)-1))))),0,VALUE(TRIM(CLEAN(MID(C24,FIND("/",C24)+1,FIND(")",C24,1)-FIND("/",C24)-1)))))</f>
        <v>8</v>
      </c>
      <c r="C5" s="16">
        <f>IF(ISERROR(VALUE(TRIM(CLEAN(MID(C24,FIND("(",C24)+1,FIND("/",C24,1)-FIND("(",C24)-1))))),0,VALUE(TRIM(CLEAN(MID(C24,FIND("(",C24)+1,FIND("/",C24,1)-FIND("(",C24)-1)))))</f>
        <v>8</v>
      </c>
    </row>
    <row r="6" spans="1:5" x14ac:dyDescent="0.2">
      <c r="A6" s="20"/>
      <c r="B6" s="21"/>
      <c r="C6" s="16"/>
    </row>
    <row r="7" spans="1:5" ht="13.5" thickBot="1" x14ac:dyDescent="0.25">
      <c r="A7" s="22" t="s">
        <v>13</v>
      </c>
      <c r="B7" s="23">
        <f>SUM(B2:B5)</f>
        <v>26</v>
      </c>
      <c r="C7" s="17">
        <f>SUM(C2:C5)</f>
        <v>26</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1005</v>
      </c>
    </row>
    <row r="20" spans="1:8" x14ac:dyDescent="0.2">
      <c r="C20" s="5" t="s">
        <v>1000</v>
      </c>
    </row>
    <row r="21" spans="1:8" x14ac:dyDescent="0.2">
      <c r="C21" s="5" t="s">
        <v>704</v>
      </c>
    </row>
    <row r="22" spans="1:8" x14ac:dyDescent="0.2">
      <c r="C22" s="5" t="s">
        <v>1001</v>
      </c>
    </row>
    <row r="23" spans="1:8" x14ac:dyDescent="0.2">
      <c r="C23" s="5" t="s">
        <v>1006</v>
      </c>
    </row>
    <row r="24" spans="1:8" x14ac:dyDescent="0.2">
      <c r="C24" s="5" t="s">
        <v>1007</v>
      </c>
    </row>
    <row r="25" spans="1:8" x14ac:dyDescent="0.2">
      <c r="B25" s="5" t="s">
        <v>1008</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1009</v>
      </c>
    </row>
    <row r="32" spans="1:8" x14ac:dyDescent="0.2">
      <c r="D32" s="5" t="s">
        <v>703</v>
      </c>
    </row>
    <row r="33" spans="4:4" x14ac:dyDescent="0.2">
      <c r="D33" s="5" t="s">
        <v>704</v>
      </c>
    </row>
    <row r="34" spans="4:4" x14ac:dyDescent="0.2">
      <c r="D34" s="5" t="s">
        <v>705</v>
      </c>
    </row>
    <row r="35" spans="4:4" x14ac:dyDescent="0.2">
      <c r="D35" s="5" t="s">
        <v>1006</v>
      </c>
    </row>
    <row r="36" spans="4:4" x14ac:dyDescent="0.2">
      <c r="D36" s="5" t="s">
        <v>1007</v>
      </c>
    </row>
  </sheetData>
  <autoFilter ref="A18:H18"/>
  <conditionalFormatting sqref="C17">
    <cfRule type="cellIs" dxfId="139" priority="1" stopIfTrue="1" operator="equal">
      <formula>$B$10</formula>
    </cfRule>
    <cfRule type="cellIs" dxfId="138"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indexed="11"/>
  </sheetPr>
  <dimension ref="A1:H30"/>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7</v>
      </c>
      <c r="C2" s="15">
        <f>IF(ISERROR(VALUE(TRIM(CLEAN(MID(C20,FIND("(",C20)+1,FIND("/",C20,1)-FIND("(",C20)-1))))),0,VALUE(TRIM(CLEAN(MID(C20,FIND("(",C20)+1,FIND("/",C20,1)-FIND("(",C20)-1)))))</f>
        <v>7</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6</v>
      </c>
      <c r="C4" s="16">
        <f>IF(ISERROR(VALUE(TRIM(CLEAN(MID(C23,FIND("(",C23)+1,FIND("/",C23,1)-FIND("(",C23)-1))))),0,VALUE(TRIM(CLEAN(MID(C23,FIND("(",C23)+1,FIND("/",C23,1)-FIND("(",C23)-1)))))</f>
        <v>6</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13</v>
      </c>
      <c r="C7" s="17">
        <f>SUM(C2:C5)</f>
        <v>13</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1011</v>
      </c>
    </row>
    <row r="20" spans="1:8" x14ac:dyDescent="0.2">
      <c r="C20" s="5" t="s">
        <v>1012</v>
      </c>
    </row>
    <row r="21" spans="1:8" x14ac:dyDescent="0.2">
      <c r="C21" s="5" t="s">
        <v>704</v>
      </c>
    </row>
    <row r="22" spans="1:8" x14ac:dyDescent="0.2">
      <c r="C22" s="5" t="s">
        <v>1013</v>
      </c>
    </row>
    <row r="23" spans="1:8" x14ac:dyDescent="0.2">
      <c r="C23" s="5" t="s">
        <v>727</v>
      </c>
    </row>
    <row r="24" spans="1:8" x14ac:dyDescent="0.2">
      <c r="C24" s="5" t="s">
        <v>712</v>
      </c>
    </row>
    <row r="25" spans="1:8" x14ac:dyDescent="0.2">
      <c r="B25" s="5" t="s">
        <v>1014</v>
      </c>
    </row>
    <row r="26" spans="1:8" x14ac:dyDescent="0.2">
      <c r="D26" s="5" t="s">
        <v>1012</v>
      </c>
    </row>
    <row r="27" spans="1:8" x14ac:dyDescent="0.2">
      <c r="D27" s="5" t="s">
        <v>704</v>
      </c>
    </row>
    <row r="28" spans="1:8" x14ac:dyDescent="0.2">
      <c r="D28" s="5" t="s">
        <v>1013</v>
      </c>
    </row>
    <row r="29" spans="1:8" x14ac:dyDescent="0.2">
      <c r="D29" s="5" t="s">
        <v>727</v>
      </c>
    </row>
    <row r="30" spans="1:8" x14ac:dyDescent="0.2">
      <c r="D30" s="5" t="s">
        <v>712</v>
      </c>
    </row>
  </sheetData>
  <autoFilter ref="A18:H18"/>
  <conditionalFormatting sqref="C17">
    <cfRule type="cellIs" dxfId="137" priority="1" stopIfTrue="1" operator="equal">
      <formula>$B$10</formula>
    </cfRule>
    <cfRule type="cellIs" dxfId="136"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indexed="11"/>
  </sheetPr>
  <dimension ref="A1:H30"/>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v>
      </c>
      <c r="C2" s="15">
        <f>IF(ISERROR(VALUE(TRIM(CLEAN(MID(C20,FIND("(",C20)+1,FIND("/",C20,1)-FIND("(",C20)-1))))),0,VALUE(TRIM(CLEAN(MID(C20,FIND("(",C20)+1,FIND("/",C20,1)-FIND("(",C20)-1)))))</f>
        <v>1</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134</v>
      </c>
      <c r="C4" s="16">
        <f>IF(ISERROR(VALUE(TRIM(CLEAN(MID(C23,FIND("(",C23)+1,FIND("/",C23,1)-FIND("(",C23)-1))))),0,VALUE(TRIM(CLEAN(MID(C23,FIND("(",C23)+1,FIND("/",C23,1)-FIND("(",C23)-1)))))</f>
        <v>134</v>
      </c>
      <c r="E4" s="29" t="s">
        <v>2</v>
      </c>
    </row>
    <row r="5" spans="1:5" ht="22.5" x14ac:dyDescent="0.2">
      <c r="A5" s="20" t="s">
        <v>17</v>
      </c>
      <c r="B5" s="21">
        <f>IF(ISERROR(VALUE(TRIM(CLEAN(MID(C24,FIND("/",C24)+1,FIND(")",C24,1)-FIND("/",C24)-1))))),0,VALUE(TRIM(CLEAN(MID(C24,FIND("/",C24)+1,FIND(")",C24,1)-FIND("/",C24)-1)))))</f>
        <v>67</v>
      </c>
      <c r="C5" s="16">
        <f>IF(ISERROR(VALUE(TRIM(CLEAN(MID(C24,FIND("(",C24)+1,FIND("/",C24,1)-FIND("(",C24)-1))))),0,VALUE(TRIM(CLEAN(MID(C24,FIND("(",C24)+1,FIND("/",C24,1)-FIND("(",C24)-1)))))</f>
        <v>67</v>
      </c>
    </row>
    <row r="6" spans="1:5" x14ac:dyDescent="0.2">
      <c r="A6" s="20"/>
      <c r="B6" s="21"/>
      <c r="C6" s="16"/>
    </row>
    <row r="7" spans="1:5" ht="13.5" thickBot="1" x14ac:dyDescent="0.25">
      <c r="A7" s="22" t="s">
        <v>13</v>
      </c>
      <c r="B7" s="23">
        <f>SUM(B2:B5)</f>
        <v>202</v>
      </c>
      <c r="C7" s="17">
        <f>SUM(C2:C5)</f>
        <v>202</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1016</v>
      </c>
    </row>
    <row r="20" spans="1:8" x14ac:dyDescent="0.2">
      <c r="C20" s="5" t="s">
        <v>703</v>
      </c>
    </row>
    <row r="21" spans="1:8" x14ac:dyDescent="0.2">
      <c r="C21" s="5" t="s">
        <v>704</v>
      </c>
    </row>
    <row r="22" spans="1:8" x14ac:dyDescent="0.2">
      <c r="C22" s="5" t="s">
        <v>705</v>
      </c>
    </row>
    <row r="23" spans="1:8" x14ac:dyDescent="0.2">
      <c r="C23" s="5" t="s">
        <v>1017</v>
      </c>
    </row>
    <row r="24" spans="1:8" x14ac:dyDescent="0.2">
      <c r="C24" s="5" t="s">
        <v>1018</v>
      </c>
    </row>
    <row r="25" spans="1:8" x14ac:dyDescent="0.2">
      <c r="B25" s="5" t="s">
        <v>1019</v>
      </c>
    </row>
    <row r="26" spans="1:8" x14ac:dyDescent="0.2">
      <c r="D26" s="5" t="s">
        <v>703</v>
      </c>
    </row>
    <row r="27" spans="1:8" x14ac:dyDescent="0.2">
      <c r="D27" s="5" t="s">
        <v>704</v>
      </c>
    </row>
    <row r="28" spans="1:8" x14ac:dyDescent="0.2">
      <c r="D28" s="5" t="s">
        <v>705</v>
      </c>
    </row>
    <row r="29" spans="1:8" x14ac:dyDescent="0.2">
      <c r="D29" s="5" t="s">
        <v>1017</v>
      </c>
    </row>
    <row r="30" spans="1:8" x14ac:dyDescent="0.2">
      <c r="D30" s="5" t="s">
        <v>1018</v>
      </c>
    </row>
  </sheetData>
  <autoFilter ref="A18:H18"/>
  <conditionalFormatting sqref="C17">
    <cfRule type="cellIs" dxfId="135" priority="1" stopIfTrue="1" operator="equal">
      <formula>$B$10</formula>
    </cfRule>
    <cfRule type="cellIs" dxfId="134"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indexed="11"/>
  </sheetPr>
  <dimension ref="A1:H9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57</v>
      </c>
      <c r="C2" s="15">
        <f>IF(ISERROR(VALUE(TRIM(CLEAN(MID(C20,FIND("(",C20)+1,FIND("/",C20,1)-FIND("(",C20)-1))))),0,VALUE(TRIM(CLEAN(MID(C20,FIND("(",C20)+1,FIND("/",C20,1)-FIND("(",C20)-1)))))</f>
        <v>57</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91</v>
      </c>
      <c r="C4" s="16">
        <f>IF(ISERROR(VALUE(TRIM(CLEAN(MID(C23,FIND("(",C23)+1,FIND("/",C23,1)-FIND("(",C23)-1))))),0,VALUE(TRIM(CLEAN(MID(C23,FIND("(",C23)+1,FIND("/",C23,1)-FIND("(",C23)-1)))))</f>
        <v>91</v>
      </c>
      <c r="E4" s="29" t="s">
        <v>2</v>
      </c>
    </row>
    <row r="5" spans="1:5" ht="22.5" x14ac:dyDescent="0.2">
      <c r="A5" s="20" t="s">
        <v>17</v>
      </c>
      <c r="B5" s="21">
        <f>IF(ISERROR(VALUE(TRIM(CLEAN(MID(C24,FIND("/",C24)+1,FIND(")",C24,1)-FIND("/",C24)-1))))),0,VALUE(TRIM(CLEAN(MID(C24,FIND("/",C24)+1,FIND(")",C24,1)-FIND("/",C24)-1)))))</f>
        <v>28</v>
      </c>
      <c r="C5" s="16">
        <f>IF(ISERROR(VALUE(TRIM(CLEAN(MID(C24,FIND("(",C24)+1,FIND("/",C24,1)-FIND("(",C24)-1))))),0,VALUE(TRIM(CLEAN(MID(C24,FIND("(",C24)+1,FIND("/",C24,1)-FIND("(",C24)-1)))))</f>
        <v>28</v>
      </c>
    </row>
    <row r="6" spans="1:5" x14ac:dyDescent="0.2">
      <c r="A6" s="20"/>
      <c r="B6" s="21"/>
      <c r="C6" s="16"/>
    </row>
    <row r="7" spans="1:5" ht="13.5" thickBot="1" x14ac:dyDescent="0.25">
      <c r="A7" s="22" t="s">
        <v>13</v>
      </c>
      <c r="B7" s="23">
        <f>SUM(B2:B5)</f>
        <v>176</v>
      </c>
      <c r="C7" s="17">
        <f>SUM(C2:C5)</f>
        <v>176</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1021</v>
      </c>
    </row>
    <row r="20" spans="1:8" x14ac:dyDescent="0.2">
      <c r="C20" s="5" t="s">
        <v>722</v>
      </c>
    </row>
    <row r="21" spans="1:8" x14ac:dyDescent="0.2">
      <c r="C21" s="5" t="s">
        <v>704</v>
      </c>
    </row>
    <row r="22" spans="1:8" x14ac:dyDescent="0.2">
      <c r="C22" s="5" t="s">
        <v>723</v>
      </c>
    </row>
    <row r="23" spans="1:8" x14ac:dyDescent="0.2">
      <c r="C23" s="5" t="s">
        <v>1022</v>
      </c>
    </row>
    <row r="24" spans="1:8" x14ac:dyDescent="0.2">
      <c r="C24" s="5" t="s">
        <v>1023</v>
      </c>
    </row>
    <row r="25" spans="1:8" x14ac:dyDescent="0.2">
      <c r="B25" s="5" t="s">
        <v>1024</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1025</v>
      </c>
    </row>
    <row r="32" spans="1:8" x14ac:dyDescent="0.2">
      <c r="D32" s="5" t="s">
        <v>882</v>
      </c>
    </row>
    <row r="33" spans="2:4" x14ac:dyDescent="0.2">
      <c r="D33" s="5" t="s">
        <v>704</v>
      </c>
    </row>
    <row r="34" spans="2:4" x14ac:dyDescent="0.2">
      <c r="D34" s="5" t="s">
        <v>883</v>
      </c>
    </row>
    <row r="35" spans="2:4" x14ac:dyDescent="0.2">
      <c r="D35" s="5" t="s">
        <v>1026</v>
      </c>
    </row>
    <row r="36" spans="2:4" x14ac:dyDescent="0.2">
      <c r="D36" s="5" t="s">
        <v>712</v>
      </c>
    </row>
    <row r="37" spans="2:4" x14ac:dyDescent="0.2">
      <c r="B37" s="5" t="s">
        <v>1027</v>
      </c>
    </row>
    <row r="38" spans="2:4" x14ac:dyDescent="0.2">
      <c r="D38" s="5" t="s">
        <v>882</v>
      </c>
    </row>
    <row r="39" spans="2:4" x14ac:dyDescent="0.2">
      <c r="D39" s="5" t="s">
        <v>704</v>
      </c>
    </row>
    <row r="40" spans="2:4" x14ac:dyDescent="0.2">
      <c r="D40" s="5" t="s">
        <v>883</v>
      </c>
    </row>
    <row r="41" spans="2:4" x14ac:dyDescent="0.2">
      <c r="D41" s="5" t="s">
        <v>1026</v>
      </c>
    </row>
    <row r="42" spans="2:4" x14ac:dyDescent="0.2">
      <c r="D42" s="5" t="s">
        <v>712</v>
      </c>
    </row>
    <row r="43" spans="2:4" x14ac:dyDescent="0.2">
      <c r="B43" s="5" t="s">
        <v>1028</v>
      </c>
    </row>
    <row r="44" spans="2:4" x14ac:dyDescent="0.2">
      <c r="D44" s="5" t="s">
        <v>882</v>
      </c>
    </row>
    <row r="45" spans="2:4" x14ac:dyDescent="0.2">
      <c r="D45" s="5" t="s">
        <v>704</v>
      </c>
    </row>
    <row r="46" spans="2:4" x14ac:dyDescent="0.2">
      <c r="D46" s="5" t="s">
        <v>883</v>
      </c>
    </row>
    <row r="47" spans="2:4" x14ac:dyDescent="0.2">
      <c r="D47" s="5" t="s">
        <v>1026</v>
      </c>
    </row>
    <row r="48" spans="2:4" x14ac:dyDescent="0.2">
      <c r="D48" s="5" t="s">
        <v>712</v>
      </c>
    </row>
    <row r="49" spans="2:4" x14ac:dyDescent="0.2">
      <c r="B49" s="5" t="s">
        <v>1029</v>
      </c>
    </row>
    <row r="50" spans="2:4" x14ac:dyDescent="0.2">
      <c r="D50" s="5" t="s">
        <v>882</v>
      </c>
    </row>
    <row r="51" spans="2:4" x14ac:dyDescent="0.2">
      <c r="D51" s="5" t="s">
        <v>704</v>
      </c>
    </row>
    <row r="52" spans="2:4" x14ac:dyDescent="0.2">
      <c r="D52" s="5" t="s">
        <v>883</v>
      </c>
    </row>
    <row r="53" spans="2:4" x14ac:dyDescent="0.2">
      <c r="D53" s="5" t="s">
        <v>1026</v>
      </c>
    </row>
    <row r="54" spans="2:4" x14ac:dyDescent="0.2">
      <c r="D54" s="5" t="s">
        <v>712</v>
      </c>
    </row>
    <row r="55" spans="2:4" x14ac:dyDescent="0.2">
      <c r="B55" s="5" t="s">
        <v>1030</v>
      </c>
    </row>
    <row r="56" spans="2:4" x14ac:dyDescent="0.2">
      <c r="D56" s="5" t="s">
        <v>1031</v>
      </c>
    </row>
    <row r="57" spans="2:4" x14ac:dyDescent="0.2">
      <c r="D57" s="5" t="s">
        <v>704</v>
      </c>
    </row>
    <row r="58" spans="2:4" x14ac:dyDescent="0.2">
      <c r="D58" s="5" t="s">
        <v>1032</v>
      </c>
    </row>
    <row r="59" spans="2:4" x14ac:dyDescent="0.2">
      <c r="D59" s="5" t="s">
        <v>1033</v>
      </c>
    </row>
    <row r="60" spans="2:4" x14ac:dyDescent="0.2">
      <c r="D60" s="5" t="s">
        <v>1034</v>
      </c>
    </row>
    <row r="61" spans="2:4" x14ac:dyDescent="0.2">
      <c r="B61" s="5" t="s">
        <v>1035</v>
      </c>
    </row>
    <row r="62" spans="2:4" x14ac:dyDescent="0.2">
      <c r="D62" s="5" t="s">
        <v>703</v>
      </c>
    </row>
    <row r="63" spans="2:4" x14ac:dyDescent="0.2">
      <c r="D63" s="5" t="s">
        <v>704</v>
      </c>
    </row>
    <row r="64" spans="2:4" x14ac:dyDescent="0.2">
      <c r="D64" s="5" t="s">
        <v>705</v>
      </c>
    </row>
    <row r="65" spans="2:4" x14ac:dyDescent="0.2">
      <c r="D65" s="5" t="s">
        <v>711</v>
      </c>
    </row>
    <row r="66" spans="2:4" x14ac:dyDescent="0.2">
      <c r="D66" s="5" t="s">
        <v>712</v>
      </c>
    </row>
    <row r="67" spans="2:4" x14ac:dyDescent="0.2">
      <c r="B67" s="5" t="s">
        <v>1036</v>
      </c>
    </row>
    <row r="68" spans="2:4" x14ac:dyDescent="0.2">
      <c r="D68" s="5" t="s">
        <v>1037</v>
      </c>
    </row>
    <row r="69" spans="2:4" x14ac:dyDescent="0.2">
      <c r="D69" s="5" t="s">
        <v>704</v>
      </c>
    </row>
    <row r="70" spans="2:4" x14ac:dyDescent="0.2">
      <c r="D70" s="5" t="s">
        <v>1038</v>
      </c>
    </row>
    <row r="71" spans="2:4" x14ac:dyDescent="0.2">
      <c r="D71" s="5" t="s">
        <v>1039</v>
      </c>
    </row>
    <row r="72" spans="2:4" x14ac:dyDescent="0.2">
      <c r="D72" s="5" t="s">
        <v>1040</v>
      </c>
    </row>
    <row r="73" spans="2:4" x14ac:dyDescent="0.2">
      <c r="B73" s="5" t="s">
        <v>1041</v>
      </c>
    </row>
    <row r="74" spans="2:4" x14ac:dyDescent="0.2">
      <c r="D74" s="5" t="s">
        <v>703</v>
      </c>
    </row>
    <row r="75" spans="2:4" x14ac:dyDescent="0.2">
      <c r="D75" s="5" t="s">
        <v>704</v>
      </c>
    </row>
    <row r="76" spans="2:4" x14ac:dyDescent="0.2">
      <c r="D76" s="5" t="s">
        <v>705</v>
      </c>
    </row>
    <row r="77" spans="2:4" x14ac:dyDescent="0.2">
      <c r="D77" s="5" t="s">
        <v>711</v>
      </c>
    </row>
    <row r="78" spans="2:4" x14ac:dyDescent="0.2">
      <c r="D78" s="5" t="s">
        <v>712</v>
      </c>
    </row>
    <row r="79" spans="2:4" x14ac:dyDescent="0.2">
      <c r="B79" s="5" t="s">
        <v>1042</v>
      </c>
    </row>
    <row r="80" spans="2:4" x14ac:dyDescent="0.2">
      <c r="D80" s="5" t="s">
        <v>703</v>
      </c>
    </row>
    <row r="81" spans="2:4" x14ac:dyDescent="0.2">
      <c r="D81" s="5" t="s">
        <v>704</v>
      </c>
    </row>
    <row r="82" spans="2:4" x14ac:dyDescent="0.2">
      <c r="D82" s="5" t="s">
        <v>705</v>
      </c>
    </row>
    <row r="83" spans="2:4" x14ac:dyDescent="0.2">
      <c r="D83" s="5" t="s">
        <v>1006</v>
      </c>
    </row>
    <row r="84" spans="2:4" x14ac:dyDescent="0.2">
      <c r="D84" s="5" t="s">
        <v>1007</v>
      </c>
    </row>
    <row r="85" spans="2:4" x14ac:dyDescent="0.2">
      <c r="B85" s="5" t="s">
        <v>1043</v>
      </c>
    </row>
    <row r="86" spans="2:4" x14ac:dyDescent="0.2">
      <c r="D86" s="5" t="s">
        <v>703</v>
      </c>
    </row>
    <row r="87" spans="2:4" x14ac:dyDescent="0.2">
      <c r="D87" s="5" t="s">
        <v>704</v>
      </c>
    </row>
    <row r="88" spans="2:4" x14ac:dyDescent="0.2">
      <c r="D88" s="5" t="s">
        <v>705</v>
      </c>
    </row>
    <row r="89" spans="2:4" x14ac:dyDescent="0.2">
      <c r="D89" s="5" t="s">
        <v>711</v>
      </c>
    </row>
    <row r="90" spans="2:4" x14ac:dyDescent="0.2">
      <c r="D90" s="5" t="s">
        <v>712</v>
      </c>
    </row>
    <row r="91" spans="2:4" x14ac:dyDescent="0.2">
      <c r="B91" s="5" t="s">
        <v>1044</v>
      </c>
    </row>
    <row r="92" spans="2:4" x14ac:dyDescent="0.2">
      <c r="D92" s="5" t="s">
        <v>703</v>
      </c>
    </row>
    <row r="93" spans="2:4" x14ac:dyDescent="0.2">
      <c r="D93" s="5" t="s">
        <v>704</v>
      </c>
    </row>
    <row r="94" spans="2:4" x14ac:dyDescent="0.2">
      <c r="D94" s="5" t="s">
        <v>705</v>
      </c>
    </row>
    <row r="95" spans="2:4" x14ac:dyDescent="0.2">
      <c r="D95" s="5" t="s">
        <v>1006</v>
      </c>
    </row>
    <row r="96" spans="2:4" x14ac:dyDescent="0.2">
      <c r="D96" s="5" t="s">
        <v>1007</v>
      </c>
    </row>
  </sheetData>
  <autoFilter ref="A18:H18"/>
  <conditionalFormatting sqref="C17">
    <cfRule type="cellIs" dxfId="133" priority="1" stopIfTrue="1" operator="equal">
      <formula>$B$10</formula>
    </cfRule>
    <cfRule type="cellIs" dxfId="132"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indexed="11"/>
  </sheetPr>
  <dimension ref="A1:H48"/>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15</v>
      </c>
      <c r="C2" s="15">
        <f>IF(ISERROR(VALUE(TRIM(CLEAN(MID(C20,FIND("(",C20)+1,FIND("/",C20,1)-FIND("(",C20)-1))))),0,VALUE(TRIM(CLEAN(MID(C20,FIND("(",C20)+1,FIND("/",C20,1)-FIND("(",C20)-1)))))</f>
        <v>15</v>
      </c>
    </row>
    <row r="3" spans="1:5" ht="22.5" x14ac:dyDescent="0.2">
      <c r="A3" s="20" t="s">
        <v>15</v>
      </c>
      <c r="B3" s="21">
        <f>IF(ISERROR(VALUE(TRIM(CLEAN(MID(C21,FIND("/",C21)+1,FIND(")",C21,1)-FIND("/",C21)-1))))),0,VALUE(TRIM(CLEAN(MID(C21,FIND("/",C21)+1,FIND(")",C21,1)-FIND("/",C21)-1)))))</f>
        <v>3</v>
      </c>
      <c r="C3" s="16">
        <f>IF(ISERROR(VALUE(TRIM(CLEAN(MID(C21,FIND("(",C21)+1,FIND("/",C21,1)-FIND("(",C21)-1))))),0,VALUE(TRIM(CLEAN(MID(C21,FIND("(",C21)+1,FIND("/",C21,1)-FIND("(",C21)-1)))))</f>
        <v>3</v>
      </c>
      <c r="E3" s="29" t="s">
        <v>1</v>
      </c>
    </row>
    <row r="4" spans="1:5" ht="22.5" x14ac:dyDescent="0.2">
      <c r="A4" s="20" t="s">
        <v>16</v>
      </c>
      <c r="B4" s="21">
        <f>IF(ISERROR(VALUE(TRIM(CLEAN(MID(C23,FIND("/",C23)+1,FIND(")",C23,1)-FIND("/",C23)-1))))),0,VALUE(TRIM(CLEAN(MID(C23,FIND("/",C23)+1,FIND(")",C23,1)-FIND("/",C23)-1)))))</f>
        <v>18</v>
      </c>
      <c r="C4" s="16">
        <f>IF(ISERROR(VALUE(TRIM(CLEAN(MID(C23,FIND("(",C23)+1,FIND("/",C23,1)-FIND("(",C23)-1))))),0,VALUE(TRIM(CLEAN(MID(C23,FIND("(",C23)+1,FIND("/",C23,1)-FIND("(",C23)-1)))))</f>
        <v>18</v>
      </c>
      <c r="E4" s="29" t="s">
        <v>2</v>
      </c>
    </row>
    <row r="5" spans="1:5" ht="22.5" x14ac:dyDescent="0.2">
      <c r="A5" s="20" t="s">
        <v>17</v>
      </c>
      <c r="B5" s="21">
        <f>IF(ISERROR(VALUE(TRIM(CLEAN(MID(C24,FIND("/",C24)+1,FIND(")",C24,1)-FIND("/",C24)-1))))),0,VALUE(TRIM(CLEAN(MID(C24,FIND("/",C24)+1,FIND(")",C24,1)-FIND("/",C24)-1)))))</f>
        <v>3</v>
      </c>
      <c r="C5" s="16">
        <f>IF(ISERROR(VALUE(TRIM(CLEAN(MID(C24,FIND("(",C24)+1,FIND("/",C24,1)-FIND("(",C24)-1))))),0,VALUE(TRIM(CLEAN(MID(C24,FIND("(",C24)+1,FIND("/",C24,1)-FIND("(",C24)-1)))))</f>
        <v>3</v>
      </c>
    </row>
    <row r="6" spans="1:5" x14ac:dyDescent="0.2">
      <c r="A6" s="20"/>
      <c r="B6" s="21"/>
      <c r="C6" s="16"/>
    </row>
    <row r="7" spans="1:5" ht="13.5" thickBot="1" x14ac:dyDescent="0.25">
      <c r="A7" s="22" t="s">
        <v>13</v>
      </c>
      <c r="B7" s="23">
        <f>SUM(B2:B5)</f>
        <v>39</v>
      </c>
      <c r="C7" s="17">
        <f>SUM(C2:C5)</f>
        <v>39</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1046</v>
      </c>
    </row>
    <row r="20" spans="1:8" x14ac:dyDescent="0.2">
      <c r="C20" s="5" t="s">
        <v>1047</v>
      </c>
    </row>
    <row r="21" spans="1:8" x14ac:dyDescent="0.2">
      <c r="C21" s="5" t="s">
        <v>897</v>
      </c>
    </row>
    <row r="22" spans="1:8" x14ac:dyDescent="0.2">
      <c r="C22" s="5" t="s">
        <v>1048</v>
      </c>
    </row>
    <row r="23" spans="1:8" x14ac:dyDescent="0.2">
      <c r="C23" s="5" t="s">
        <v>781</v>
      </c>
    </row>
    <row r="24" spans="1:8" x14ac:dyDescent="0.2">
      <c r="C24" s="5" t="s">
        <v>728</v>
      </c>
    </row>
    <row r="25" spans="1:8" x14ac:dyDescent="0.2">
      <c r="B25" s="5" t="s">
        <v>1049</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1050</v>
      </c>
    </row>
    <row r="32" spans="1:8" x14ac:dyDescent="0.2">
      <c r="D32" s="5" t="s">
        <v>833</v>
      </c>
    </row>
    <row r="33" spans="2:4" x14ac:dyDescent="0.2">
      <c r="D33" s="5" t="s">
        <v>897</v>
      </c>
    </row>
    <row r="34" spans="2:4" x14ac:dyDescent="0.2">
      <c r="D34" s="5" t="s">
        <v>1051</v>
      </c>
    </row>
    <row r="35" spans="2:4" x14ac:dyDescent="0.2">
      <c r="D35" s="5" t="s">
        <v>781</v>
      </c>
    </row>
    <row r="36" spans="2:4" x14ac:dyDescent="0.2">
      <c r="D36" s="5" t="s">
        <v>728</v>
      </c>
    </row>
    <row r="37" spans="2:4" x14ac:dyDescent="0.2">
      <c r="B37" s="5" t="s">
        <v>1052</v>
      </c>
    </row>
    <row r="38" spans="2:4" x14ac:dyDescent="0.2">
      <c r="D38" s="5" t="s">
        <v>703</v>
      </c>
    </row>
    <row r="39" spans="2:4" x14ac:dyDescent="0.2">
      <c r="D39" s="5" t="s">
        <v>704</v>
      </c>
    </row>
    <row r="40" spans="2:4" x14ac:dyDescent="0.2">
      <c r="D40" s="5" t="s">
        <v>705</v>
      </c>
    </row>
    <row r="41" spans="2:4" x14ac:dyDescent="0.2">
      <c r="D41" s="5" t="s">
        <v>711</v>
      </c>
    </row>
    <row r="42" spans="2:4" x14ac:dyDescent="0.2">
      <c r="D42" s="5" t="s">
        <v>712</v>
      </c>
    </row>
    <row r="43" spans="2:4" x14ac:dyDescent="0.2">
      <c r="B43" s="5" t="s">
        <v>1053</v>
      </c>
    </row>
    <row r="44" spans="2:4" x14ac:dyDescent="0.2">
      <c r="D44" s="5" t="s">
        <v>703</v>
      </c>
    </row>
    <row r="45" spans="2:4" x14ac:dyDescent="0.2">
      <c r="D45" s="5" t="s">
        <v>704</v>
      </c>
    </row>
    <row r="46" spans="2:4" x14ac:dyDescent="0.2">
      <c r="D46" s="5" t="s">
        <v>705</v>
      </c>
    </row>
    <row r="47" spans="2:4" x14ac:dyDescent="0.2">
      <c r="D47" s="5" t="s">
        <v>711</v>
      </c>
    </row>
    <row r="48" spans="2:4" x14ac:dyDescent="0.2">
      <c r="D48" s="5" t="s">
        <v>712</v>
      </c>
    </row>
  </sheetData>
  <autoFilter ref="A18:H18"/>
  <conditionalFormatting sqref="C17">
    <cfRule type="cellIs" dxfId="131" priority="1" stopIfTrue="1" operator="equal">
      <formula>$B$10</formula>
    </cfRule>
    <cfRule type="cellIs" dxfId="130"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35</v>
      </c>
      <c r="C2" s="15">
        <f>IF(ISERROR(VALUE(TRIM(CLEAN(MID(C20,FIND("(",C20)+1,FIND("/",C20,1)-FIND("(",C20)-1))))),0,VALUE(TRIM(CLEAN(MID(C20,FIND("(",C20)+1,FIND("/",C20,1)-FIND("(",C20)-1)))))</f>
        <v>35</v>
      </c>
    </row>
    <row r="3" spans="1:5" ht="22.5" x14ac:dyDescent="0.2">
      <c r="A3" s="20" t="s">
        <v>15</v>
      </c>
      <c r="B3" s="21">
        <f>IF(ISERROR(VALUE(TRIM(CLEAN(MID(C21,FIND("/",C21)+1,FIND(")",C21,1)-FIND("/",C21)-1))))),0,VALUE(TRIM(CLEAN(MID(C21,FIND("/",C21)+1,FIND(")",C21,1)-FIND("/",C21)-1)))))</f>
        <v>4</v>
      </c>
      <c r="C3" s="16">
        <f>IF(ISERROR(VALUE(TRIM(CLEAN(MID(C21,FIND("(",C21)+1,FIND("/",C21,1)-FIND("(",C21)-1))))),0,VALUE(TRIM(CLEAN(MID(C21,FIND("(",C21)+1,FIND("/",C21,1)-FIND("(",C21)-1)))))</f>
        <v>4</v>
      </c>
      <c r="E3" s="29" t="s">
        <v>1</v>
      </c>
    </row>
    <row r="4" spans="1:5" ht="22.5" x14ac:dyDescent="0.2">
      <c r="A4" s="20" t="s">
        <v>16</v>
      </c>
      <c r="B4" s="21">
        <f>IF(ISERROR(VALUE(TRIM(CLEAN(MID(C23,FIND("/",C23)+1,FIND(")",C23,1)-FIND("/",C23)-1))))),0,VALUE(TRIM(CLEAN(MID(C23,FIND("/",C23)+1,FIND(")",C23,1)-FIND("/",C23)-1)))))</f>
        <v>51</v>
      </c>
      <c r="C4" s="16">
        <f>IF(ISERROR(VALUE(TRIM(CLEAN(MID(C23,FIND("(",C23)+1,FIND("/",C23,1)-FIND("(",C23)-1))))),0,VALUE(TRIM(CLEAN(MID(C23,FIND("(",C23)+1,FIND("/",C23,1)-FIND("(",C23)-1)))))</f>
        <v>51</v>
      </c>
      <c r="E4" s="29" t="s">
        <v>2</v>
      </c>
    </row>
    <row r="5" spans="1:5" ht="22.5" x14ac:dyDescent="0.2">
      <c r="A5" s="20" t="s">
        <v>17</v>
      </c>
      <c r="B5" s="21">
        <f>IF(ISERROR(VALUE(TRIM(CLEAN(MID(C24,FIND("/",C24)+1,FIND(")",C24,1)-FIND("/",C24)-1))))),0,VALUE(TRIM(CLEAN(MID(C24,FIND("/",C24)+1,FIND(")",C24,1)-FIND("/",C24)-1)))))</f>
        <v>11</v>
      </c>
      <c r="C5" s="16">
        <f>IF(ISERROR(VALUE(TRIM(CLEAN(MID(C24,FIND("(",C24)+1,FIND("/",C24,1)-FIND("(",C24)-1))))),0,VALUE(TRIM(CLEAN(MID(C24,FIND("(",C24)+1,FIND("/",C24,1)-FIND("(",C24)-1)))))</f>
        <v>11</v>
      </c>
    </row>
    <row r="6" spans="1:5" x14ac:dyDescent="0.2">
      <c r="A6" s="20"/>
      <c r="B6" s="21"/>
      <c r="C6" s="16"/>
    </row>
    <row r="7" spans="1:5" ht="13.5" thickBot="1" x14ac:dyDescent="0.25">
      <c r="A7" s="22" t="s">
        <v>13</v>
      </c>
      <c r="B7" s="23">
        <f>SUM(B2:B5)</f>
        <v>101</v>
      </c>
      <c r="C7" s="17">
        <f>SUM(C2:C5)</f>
        <v>101</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1055</v>
      </c>
    </row>
    <row r="20" spans="1:8" x14ac:dyDescent="0.2">
      <c r="C20" s="5" t="s">
        <v>1056</v>
      </c>
    </row>
    <row r="21" spans="1:8" x14ac:dyDescent="0.2">
      <c r="C21" s="5" t="s">
        <v>1057</v>
      </c>
    </row>
    <row r="22" spans="1:8" x14ac:dyDescent="0.2">
      <c r="C22" s="5" t="s">
        <v>1058</v>
      </c>
    </row>
    <row r="23" spans="1:8" x14ac:dyDescent="0.2">
      <c r="C23" s="5" t="s">
        <v>1059</v>
      </c>
    </row>
    <row r="24" spans="1:8" x14ac:dyDescent="0.2">
      <c r="C24" s="5" t="s">
        <v>801</v>
      </c>
    </row>
    <row r="25" spans="1:8" x14ac:dyDescent="0.2">
      <c r="B25" s="5" t="s">
        <v>1060</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1061</v>
      </c>
    </row>
    <row r="32" spans="1:8" x14ac:dyDescent="0.2">
      <c r="D32" s="5" t="s">
        <v>1062</v>
      </c>
    </row>
    <row r="33" spans="4:4" x14ac:dyDescent="0.2">
      <c r="D33" s="5" t="s">
        <v>1057</v>
      </c>
    </row>
    <row r="34" spans="4:4" x14ac:dyDescent="0.2">
      <c r="D34" s="5" t="s">
        <v>1063</v>
      </c>
    </row>
    <row r="35" spans="4:4" x14ac:dyDescent="0.2">
      <c r="D35" s="5" t="s">
        <v>1059</v>
      </c>
    </row>
    <row r="36" spans="4:4" x14ac:dyDescent="0.2">
      <c r="D36" s="5" t="s">
        <v>801</v>
      </c>
    </row>
  </sheetData>
  <autoFilter ref="A18:H18"/>
  <conditionalFormatting sqref="C17">
    <cfRule type="cellIs" dxfId="129" priority="1" stopIfTrue="1" operator="equal">
      <formula>$B$10</formula>
    </cfRule>
    <cfRule type="cellIs" dxfId="128"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indexed="11"/>
  </sheetPr>
  <dimension ref="A1:H48"/>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21</v>
      </c>
      <c r="C2" s="15">
        <f>IF(ISERROR(VALUE(TRIM(CLEAN(MID(C20,FIND("(",C20)+1,FIND("/",C20,1)-FIND("(",C20)-1))))),0,VALUE(TRIM(CLEAN(MID(C20,FIND("(",C20)+1,FIND("/",C20,1)-FIND("(",C20)-1)))))</f>
        <v>21</v>
      </c>
    </row>
    <row r="3" spans="1:5" ht="22.5" x14ac:dyDescent="0.2">
      <c r="A3" s="20" t="s">
        <v>15</v>
      </c>
      <c r="B3" s="21">
        <f>IF(ISERROR(VALUE(TRIM(CLEAN(MID(C21,FIND("/",C21)+1,FIND(")",C21,1)-FIND("/",C21)-1))))),0,VALUE(TRIM(CLEAN(MID(C21,FIND("/",C21)+1,FIND(")",C21,1)-FIND("/",C21)-1)))))</f>
        <v>4</v>
      </c>
      <c r="C3" s="16">
        <f>IF(ISERROR(VALUE(TRIM(CLEAN(MID(C21,FIND("(",C21)+1,FIND("/",C21,1)-FIND("(",C21)-1))))),0,VALUE(TRIM(CLEAN(MID(C21,FIND("(",C21)+1,FIND("/",C21,1)-FIND("(",C21)-1)))))</f>
        <v>4</v>
      </c>
      <c r="E3" s="29" t="s">
        <v>1</v>
      </c>
    </row>
    <row r="4" spans="1:5" ht="22.5" x14ac:dyDescent="0.2">
      <c r="A4" s="20" t="s">
        <v>16</v>
      </c>
      <c r="B4" s="21">
        <f>IF(ISERROR(VALUE(TRIM(CLEAN(MID(C23,FIND("/",C23)+1,FIND(")",C23,1)-FIND("/",C23)-1))))),0,VALUE(TRIM(CLEAN(MID(C23,FIND("/",C23)+1,FIND(")",C23,1)-FIND("/",C23)-1)))))</f>
        <v>23</v>
      </c>
      <c r="C4" s="16">
        <f>IF(ISERROR(VALUE(TRIM(CLEAN(MID(C23,FIND("(",C23)+1,FIND("/",C23,1)-FIND("(",C23)-1))))),0,VALUE(TRIM(CLEAN(MID(C23,FIND("(",C23)+1,FIND("/",C23,1)-FIND("(",C23)-1)))))</f>
        <v>23</v>
      </c>
      <c r="E4" s="29" t="s">
        <v>2</v>
      </c>
    </row>
    <row r="5" spans="1:5" ht="22.5" x14ac:dyDescent="0.2">
      <c r="A5" s="20" t="s">
        <v>17</v>
      </c>
      <c r="B5" s="21">
        <f>IF(ISERROR(VALUE(TRIM(CLEAN(MID(C24,FIND("/",C24)+1,FIND(")",C24,1)-FIND("/",C24)-1))))),0,VALUE(TRIM(CLEAN(MID(C24,FIND("/",C24)+1,FIND(")",C24,1)-FIND("/",C24)-1)))))</f>
        <v>2</v>
      </c>
      <c r="C5" s="16">
        <f>IF(ISERROR(VALUE(TRIM(CLEAN(MID(C24,FIND("(",C24)+1,FIND("/",C24,1)-FIND("(",C24)-1))))),0,VALUE(TRIM(CLEAN(MID(C24,FIND("(",C24)+1,FIND("/",C24,1)-FIND("(",C24)-1)))))</f>
        <v>2</v>
      </c>
    </row>
    <row r="6" spans="1:5" x14ac:dyDescent="0.2">
      <c r="A6" s="20"/>
      <c r="B6" s="21"/>
      <c r="C6" s="16"/>
    </row>
    <row r="7" spans="1:5" ht="13.5" thickBot="1" x14ac:dyDescent="0.25">
      <c r="A7" s="22" t="s">
        <v>13</v>
      </c>
      <c r="B7" s="23">
        <f>SUM(B2:B5)</f>
        <v>50</v>
      </c>
      <c r="C7" s="17">
        <f>SUM(C2:C5)</f>
        <v>50</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1065</v>
      </c>
    </row>
    <row r="20" spans="1:8" x14ac:dyDescent="0.2">
      <c r="C20" s="5" t="s">
        <v>1066</v>
      </c>
    </row>
    <row r="21" spans="1:8" x14ac:dyDescent="0.2">
      <c r="C21" s="5" t="s">
        <v>1057</v>
      </c>
    </row>
    <row r="22" spans="1:8" x14ac:dyDescent="0.2">
      <c r="C22" s="5" t="s">
        <v>1067</v>
      </c>
    </row>
    <row r="23" spans="1:8" x14ac:dyDescent="0.2">
      <c r="C23" s="5" t="s">
        <v>1068</v>
      </c>
    </row>
    <row r="24" spans="1:8" x14ac:dyDescent="0.2">
      <c r="C24" s="5" t="s">
        <v>707</v>
      </c>
    </row>
    <row r="25" spans="1:8" x14ac:dyDescent="0.2">
      <c r="B25" s="5" t="s">
        <v>1069</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1070</v>
      </c>
    </row>
    <row r="32" spans="1:8" x14ac:dyDescent="0.2">
      <c r="D32" s="5" t="s">
        <v>1071</v>
      </c>
    </row>
    <row r="33" spans="2:4" x14ac:dyDescent="0.2">
      <c r="D33" s="5" t="s">
        <v>1057</v>
      </c>
    </row>
    <row r="34" spans="2:4" x14ac:dyDescent="0.2">
      <c r="D34" s="5" t="s">
        <v>1072</v>
      </c>
    </row>
    <row r="35" spans="2:4" x14ac:dyDescent="0.2">
      <c r="D35" s="5" t="s">
        <v>1068</v>
      </c>
    </row>
    <row r="36" spans="2:4" x14ac:dyDescent="0.2">
      <c r="D36" s="5" t="s">
        <v>707</v>
      </c>
    </row>
    <row r="37" spans="2:4" x14ac:dyDescent="0.2">
      <c r="B37" s="5" t="s">
        <v>1073</v>
      </c>
    </row>
    <row r="38" spans="2:4" x14ac:dyDescent="0.2">
      <c r="D38" s="5" t="s">
        <v>703</v>
      </c>
    </row>
    <row r="39" spans="2:4" x14ac:dyDescent="0.2">
      <c r="D39" s="5" t="s">
        <v>704</v>
      </c>
    </row>
    <row r="40" spans="2:4" x14ac:dyDescent="0.2">
      <c r="D40" s="5" t="s">
        <v>705</v>
      </c>
    </row>
    <row r="41" spans="2:4" x14ac:dyDescent="0.2">
      <c r="D41" s="5" t="s">
        <v>711</v>
      </c>
    </row>
    <row r="42" spans="2:4" x14ac:dyDescent="0.2">
      <c r="D42" s="5" t="s">
        <v>712</v>
      </c>
    </row>
    <row r="43" spans="2:4" x14ac:dyDescent="0.2">
      <c r="B43" s="5" t="s">
        <v>1074</v>
      </c>
    </row>
    <row r="44" spans="2:4" x14ac:dyDescent="0.2">
      <c r="D44" s="5" t="s">
        <v>703</v>
      </c>
    </row>
    <row r="45" spans="2:4" x14ac:dyDescent="0.2">
      <c r="D45" s="5" t="s">
        <v>704</v>
      </c>
    </row>
    <row r="46" spans="2:4" x14ac:dyDescent="0.2">
      <c r="D46" s="5" t="s">
        <v>705</v>
      </c>
    </row>
    <row r="47" spans="2:4" x14ac:dyDescent="0.2">
      <c r="D47" s="5" t="s">
        <v>711</v>
      </c>
    </row>
    <row r="48" spans="2:4" x14ac:dyDescent="0.2">
      <c r="D48" s="5" t="s">
        <v>712</v>
      </c>
    </row>
  </sheetData>
  <autoFilter ref="A18:H18"/>
  <conditionalFormatting sqref="C17">
    <cfRule type="cellIs" dxfId="127" priority="1" stopIfTrue="1" operator="equal">
      <formula>$B$10</formula>
    </cfRule>
    <cfRule type="cellIs" dxfId="126"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31</v>
      </c>
      <c r="C2" s="15">
        <f>IF(ISERROR(VALUE(TRIM(CLEAN(MID(C20,FIND("(",C20)+1,FIND("/",C20,1)-FIND("(",C20)-1))))),0,VALUE(TRIM(CLEAN(MID(C20,FIND("(",C20)+1,FIND("/",C20,1)-FIND("(",C20)-1)))))</f>
        <v>31</v>
      </c>
    </row>
    <row r="3" spans="1:5" ht="22.5" x14ac:dyDescent="0.2">
      <c r="A3" s="20" t="s">
        <v>15</v>
      </c>
      <c r="B3" s="21">
        <f>IF(ISERROR(VALUE(TRIM(CLEAN(MID(C21,FIND("/",C21)+1,FIND(")",C21,1)-FIND("/",C21)-1))))),0,VALUE(TRIM(CLEAN(MID(C21,FIND("/",C21)+1,FIND(")",C21,1)-FIND("/",C21)-1)))))</f>
        <v>4</v>
      </c>
      <c r="C3" s="16">
        <f>IF(ISERROR(VALUE(TRIM(CLEAN(MID(C21,FIND("(",C21)+1,FIND("/",C21,1)-FIND("(",C21)-1))))),0,VALUE(TRIM(CLEAN(MID(C21,FIND("(",C21)+1,FIND("/",C21,1)-FIND("(",C21)-1)))))</f>
        <v>4</v>
      </c>
      <c r="E3" s="29" t="s">
        <v>1</v>
      </c>
    </row>
    <row r="4" spans="1:5" ht="22.5" x14ac:dyDescent="0.2">
      <c r="A4" s="20" t="s">
        <v>16</v>
      </c>
      <c r="B4" s="21">
        <f>IF(ISERROR(VALUE(TRIM(CLEAN(MID(C23,FIND("/",C23)+1,FIND(")",C23,1)-FIND("/",C23)-1))))),0,VALUE(TRIM(CLEAN(MID(C23,FIND("/",C23)+1,FIND(")",C23,1)-FIND("/",C23)-1)))))</f>
        <v>47</v>
      </c>
      <c r="C4" s="16">
        <f>IF(ISERROR(VALUE(TRIM(CLEAN(MID(C23,FIND("(",C23)+1,FIND("/",C23,1)-FIND("(",C23)-1))))),0,VALUE(TRIM(CLEAN(MID(C23,FIND("(",C23)+1,FIND("/",C23,1)-FIND("(",C23)-1)))))</f>
        <v>47</v>
      </c>
      <c r="E4" s="29" t="s">
        <v>2</v>
      </c>
    </row>
    <row r="5" spans="1:5" ht="22.5" x14ac:dyDescent="0.2">
      <c r="A5" s="20" t="s">
        <v>17</v>
      </c>
      <c r="B5" s="21">
        <f>IF(ISERROR(VALUE(TRIM(CLEAN(MID(C24,FIND("/",C24)+1,FIND(")",C24,1)-FIND("/",C24)-1))))),0,VALUE(TRIM(CLEAN(MID(C24,FIND("/",C24)+1,FIND(")",C24,1)-FIND("/",C24)-1)))))</f>
        <v>10</v>
      </c>
      <c r="C5" s="16">
        <f>IF(ISERROR(VALUE(TRIM(CLEAN(MID(C24,FIND("(",C24)+1,FIND("/",C24,1)-FIND("(",C24)-1))))),0,VALUE(TRIM(CLEAN(MID(C24,FIND("(",C24)+1,FIND("/",C24,1)-FIND("(",C24)-1)))))</f>
        <v>10</v>
      </c>
    </row>
    <row r="6" spans="1:5" x14ac:dyDescent="0.2">
      <c r="A6" s="20"/>
      <c r="B6" s="21"/>
      <c r="C6" s="16"/>
    </row>
    <row r="7" spans="1:5" ht="13.5" thickBot="1" x14ac:dyDescent="0.25">
      <c r="A7" s="22" t="s">
        <v>13</v>
      </c>
      <c r="B7" s="23">
        <f>SUM(B2:B5)</f>
        <v>92</v>
      </c>
      <c r="C7" s="17">
        <f>SUM(C2:C5)</f>
        <v>92</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1076</v>
      </c>
    </row>
    <row r="20" spans="1:8" x14ac:dyDescent="0.2">
      <c r="C20" s="5" t="s">
        <v>1077</v>
      </c>
    </row>
    <row r="21" spans="1:8" x14ac:dyDescent="0.2">
      <c r="C21" s="5" t="s">
        <v>1057</v>
      </c>
    </row>
    <row r="22" spans="1:8" x14ac:dyDescent="0.2">
      <c r="C22" s="5" t="s">
        <v>1078</v>
      </c>
    </row>
    <row r="23" spans="1:8" x14ac:dyDescent="0.2">
      <c r="C23" s="5" t="s">
        <v>1079</v>
      </c>
    </row>
    <row r="24" spans="1:8" x14ac:dyDescent="0.2">
      <c r="C24" s="5" t="s">
        <v>748</v>
      </c>
    </row>
    <row r="25" spans="1:8" x14ac:dyDescent="0.2">
      <c r="B25" s="5" t="s">
        <v>1080</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1081</v>
      </c>
    </row>
    <row r="32" spans="1:8" x14ac:dyDescent="0.2">
      <c r="D32" s="5" t="s">
        <v>1037</v>
      </c>
    </row>
    <row r="33" spans="4:4" x14ac:dyDescent="0.2">
      <c r="D33" s="5" t="s">
        <v>1057</v>
      </c>
    </row>
    <row r="34" spans="4:4" x14ac:dyDescent="0.2">
      <c r="D34" s="5" t="s">
        <v>1082</v>
      </c>
    </row>
    <row r="35" spans="4:4" x14ac:dyDescent="0.2">
      <c r="D35" s="5" t="s">
        <v>1079</v>
      </c>
    </row>
    <row r="36" spans="4:4" x14ac:dyDescent="0.2">
      <c r="D36" s="5" t="s">
        <v>748</v>
      </c>
    </row>
  </sheetData>
  <autoFilter ref="A18:H18"/>
  <conditionalFormatting sqref="C17">
    <cfRule type="cellIs" dxfId="125" priority="1" stopIfTrue="1" operator="equal">
      <formula>$B$10</formula>
    </cfRule>
    <cfRule type="cellIs" dxfId="124"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31</v>
      </c>
      <c r="C2" s="15">
        <f>IF(ISERROR(VALUE(TRIM(CLEAN(MID(C20,FIND("(",C20)+1,FIND("/",C20,1)-FIND("(",C20)-1))))),0,VALUE(TRIM(CLEAN(MID(C20,FIND("(",C20)+1,FIND("/",C20,1)-FIND("(",C20)-1)))))</f>
        <v>31</v>
      </c>
    </row>
    <row r="3" spans="1:5" ht="22.5" x14ac:dyDescent="0.2">
      <c r="A3" s="20" t="s">
        <v>15</v>
      </c>
      <c r="B3" s="21">
        <f>IF(ISERROR(VALUE(TRIM(CLEAN(MID(C21,FIND("/",C21)+1,FIND(")",C21,1)-FIND("/",C21)-1))))),0,VALUE(TRIM(CLEAN(MID(C21,FIND("/",C21)+1,FIND(")",C21,1)-FIND("/",C21)-1)))))</f>
        <v>4</v>
      </c>
      <c r="C3" s="16">
        <f>IF(ISERROR(VALUE(TRIM(CLEAN(MID(C21,FIND("(",C21)+1,FIND("/",C21,1)-FIND("(",C21)-1))))),0,VALUE(TRIM(CLEAN(MID(C21,FIND("(",C21)+1,FIND("/",C21,1)-FIND("(",C21)-1)))))</f>
        <v>4</v>
      </c>
      <c r="E3" s="29" t="s">
        <v>1</v>
      </c>
    </row>
    <row r="4" spans="1:5" ht="22.5" x14ac:dyDescent="0.2">
      <c r="A4" s="20" t="s">
        <v>16</v>
      </c>
      <c r="B4" s="21">
        <f>IF(ISERROR(VALUE(TRIM(CLEAN(MID(C23,FIND("/",C23)+1,FIND(")",C23,1)-FIND("/",C23)-1))))),0,VALUE(TRIM(CLEAN(MID(C23,FIND("/",C23)+1,FIND(")",C23,1)-FIND("/",C23)-1)))))</f>
        <v>51</v>
      </c>
      <c r="C4" s="16">
        <f>IF(ISERROR(VALUE(TRIM(CLEAN(MID(C23,FIND("(",C23)+1,FIND("/",C23,1)-FIND("(",C23)-1))))),0,VALUE(TRIM(CLEAN(MID(C23,FIND("(",C23)+1,FIND("/",C23,1)-FIND("(",C23)-1)))))</f>
        <v>51</v>
      </c>
      <c r="E4" s="29" t="s">
        <v>2</v>
      </c>
    </row>
    <row r="5" spans="1:5" ht="22.5" x14ac:dyDescent="0.2">
      <c r="A5" s="20" t="s">
        <v>17</v>
      </c>
      <c r="B5" s="21">
        <f>IF(ISERROR(VALUE(TRIM(CLEAN(MID(C24,FIND("/",C24)+1,FIND(")",C24,1)-FIND("/",C24)-1))))),0,VALUE(TRIM(CLEAN(MID(C24,FIND("/",C24)+1,FIND(")",C24,1)-FIND("/",C24)-1)))))</f>
        <v>12</v>
      </c>
      <c r="C5" s="16">
        <f>IF(ISERROR(VALUE(TRIM(CLEAN(MID(C24,FIND("(",C24)+1,FIND("/",C24,1)-FIND("(",C24)-1))))),0,VALUE(TRIM(CLEAN(MID(C24,FIND("(",C24)+1,FIND("/",C24,1)-FIND("(",C24)-1)))))</f>
        <v>12</v>
      </c>
    </row>
    <row r="6" spans="1:5" x14ac:dyDescent="0.2">
      <c r="A6" s="20"/>
      <c r="B6" s="21"/>
      <c r="C6" s="16"/>
    </row>
    <row r="7" spans="1:5" ht="13.5" thickBot="1" x14ac:dyDescent="0.25">
      <c r="A7" s="22" t="s">
        <v>13</v>
      </c>
      <c r="B7" s="23">
        <f>SUM(B2:B5)</f>
        <v>98</v>
      </c>
      <c r="C7" s="17">
        <f>SUM(C2:C5)</f>
        <v>98</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1084</v>
      </c>
    </row>
    <row r="20" spans="1:8" x14ac:dyDescent="0.2">
      <c r="C20" s="5" t="s">
        <v>1077</v>
      </c>
    </row>
    <row r="21" spans="1:8" x14ac:dyDescent="0.2">
      <c r="C21" s="5" t="s">
        <v>1057</v>
      </c>
    </row>
    <row r="22" spans="1:8" x14ac:dyDescent="0.2">
      <c r="C22" s="5" t="s">
        <v>1078</v>
      </c>
    </row>
    <row r="23" spans="1:8" x14ac:dyDescent="0.2">
      <c r="C23" s="5" t="s">
        <v>1059</v>
      </c>
    </row>
    <row r="24" spans="1:8" x14ac:dyDescent="0.2">
      <c r="C24" s="5" t="s">
        <v>731</v>
      </c>
    </row>
    <row r="25" spans="1:8" x14ac:dyDescent="0.2">
      <c r="B25" s="5" t="s">
        <v>1085</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1086</v>
      </c>
    </row>
    <row r="32" spans="1:8" x14ac:dyDescent="0.2">
      <c r="D32" s="5" t="s">
        <v>1037</v>
      </c>
    </row>
    <row r="33" spans="4:4" x14ac:dyDescent="0.2">
      <c r="D33" s="5" t="s">
        <v>1057</v>
      </c>
    </row>
    <row r="34" spans="4:4" x14ac:dyDescent="0.2">
      <c r="D34" s="5" t="s">
        <v>1082</v>
      </c>
    </row>
    <row r="35" spans="4:4" x14ac:dyDescent="0.2">
      <c r="D35" s="5" t="s">
        <v>1059</v>
      </c>
    </row>
    <row r="36" spans="4:4" x14ac:dyDescent="0.2">
      <c r="D36" s="5" t="s">
        <v>731</v>
      </c>
    </row>
  </sheetData>
  <autoFilter ref="A18:H18"/>
  <conditionalFormatting sqref="C17">
    <cfRule type="cellIs" dxfId="123" priority="1" stopIfTrue="1" operator="equal">
      <formula>$B$10</formula>
    </cfRule>
    <cfRule type="cellIs" dxfId="122"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2</v>
      </c>
      <c r="C2" s="15">
        <f>IF(ISERROR(VALUE(TRIM(CLEAN(MID(C20,FIND("(",C20)+1,FIND("/",C20,1)-FIND("(",C20)-1))))),0,VALUE(TRIM(CLEAN(MID(C20,FIND("(",C20)+1,FIND("/",C20,1)-FIND("(",C20)-1)))))</f>
        <v>2</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0</v>
      </c>
      <c r="C4" s="16">
        <f>IF(ISERROR(VALUE(TRIM(CLEAN(MID(C23,FIND("(",C23)+1,FIND("/",C23,1)-FIND("(",C23)-1))))),0,VALUE(TRIM(CLEAN(MID(C23,FIND("(",C23)+1,FIND("/",C23,1)-FIND("(",C23)-1)))))</f>
        <v>0</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2</v>
      </c>
      <c r="C7" s="17">
        <f>SUM(C2:C5)</f>
        <v>2</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1088</v>
      </c>
    </row>
    <row r="20" spans="1:8" x14ac:dyDescent="0.2">
      <c r="C20" s="5" t="s">
        <v>1000</v>
      </c>
    </row>
    <row r="21" spans="1:8" x14ac:dyDescent="0.2">
      <c r="C21" s="5" t="s">
        <v>704</v>
      </c>
    </row>
    <row r="22" spans="1:8" x14ac:dyDescent="0.2">
      <c r="C22" s="5" t="s">
        <v>1001</v>
      </c>
    </row>
    <row r="23" spans="1:8" x14ac:dyDescent="0.2">
      <c r="C23" s="5" t="s">
        <v>711</v>
      </c>
    </row>
    <row r="24" spans="1:8" x14ac:dyDescent="0.2">
      <c r="C24" s="5" t="s">
        <v>712</v>
      </c>
    </row>
    <row r="25" spans="1:8" x14ac:dyDescent="0.2">
      <c r="B25" s="5" t="s">
        <v>1089</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1090</v>
      </c>
    </row>
    <row r="32" spans="1:8" x14ac:dyDescent="0.2">
      <c r="D32" s="5" t="s">
        <v>703</v>
      </c>
    </row>
    <row r="33" spans="4:4" x14ac:dyDescent="0.2">
      <c r="D33" s="5" t="s">
        <v>704</v>
      </c>
    </row>
    <row r="34" spans="4:4" x14ac:dyDescent="0.2">
      <c r="D34" s="5" t="s">
        <v>705</v>
      </c>
    </row>
    <row r="35" spans="4:4" x14ac:dyDescent="0.2">
      <c r="D35" s="5" t="s">
        <v>711</v>
      </c>
    </row>
    <row r="36" spans="4:4" x14ac:dyDescent="0.2">
      <c r="D36" s="5" t="s">
        <v>712</v>
      </c>
    </row>
  </sheetData>
  <autoFilter ref="A18:H18"/>
  <conditionalFormatting sqref="C17">
    <cfRule type="cellIs" dxfId="121" priority="1" stopIfTrue="1" operator="equal">
      <formula>$B$10</formula>
    </cfRule>
    <cfRule type="cellIs" dxfId="120"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tabColor indexed="11"/>
  </sheetPr>
  <dimension ref="A1:H30"/>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v>
      </c>
      <c r="C2" s="15">
        <f>IF(ISERROR(VALUE(TRIM(CLEAN(MID(C20,FIND("(",C20)+1,FIND("/",C20,1)-FIND("(",C20)-1))))),0,VALUE(TRIM(CLEAN(MID(C20,FIND("(",C20)+1,FIND("/",C20,1)-FIND("(",C20)-1)))))</f>
        <v>1</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18</v>
      </c>
      <c r="C4" s="16">
        <f>IF(ISERROR(VALUE(TRIM(CLEAN(MID(C23,FIND("(",C23)+1,FIND("/",C23,1)-FIND("(",C23)-1))))),0,VALUE(TRIM(CLEAN(MID(C23,FIND("(",C23)+1,FIND("/",C23,1)-FIND("(",C23)-1)))))</f>
        <v>18</v>
      </c>
      <c r="E4" s="29" t="s">
        <v>2</v>
      </c>
    </row>
    <row r="5" spans="1:5" ht="22.5" x14ac:dyDescent="0.2">
      <c r="A5" s="20" t="s">
        <v>17</v>
      </c>
      <c r="B5" s="21">
        <f>IF(ISERROR(VALUE(TRIM(CLEAN(MID(C24,FIND("/",C24)+1,FIND(")",C24,1)-FIND("/",C24)-1))))),0,VALUE(TRIM(CLEAN(MID(C24,FIND("/",C24)+1,FIND(")",C24,1)-FIND("/",C24)-1)))))</f>
        <v>9</v>
      </c>
      <c r="C5" s="16">
        <f>IF(ISERROR(VALUE(TRIM(CLEAN(MID(C24,FIND("(",C24)+1,FIND("/",C24,1)-FIND("(",C24)-1))))),0,VALUE(TRIM(CLEAN(MID(C24,FIND("(",C24)+1,FIND("/",C24,1)-FIND("(",C24)-1)))))</f>
        <v>9</v>
      </c>
    </row>
    <row r="6" spans="1:5" x14ac:dyDescent="0.2">
      <c r="A6" s="20"/>
      <c r="B6" s="21"/>
      <c r="C6" s="16"/>
    </row>
    <row r="7" spans="1:5" ht="13.5" thickBot="1" x14ac:dyDescent="0.25">
      <c r="A7" s="22" t="s">
        <v>13</v>
      </c>
      <c r="B7" s="23">
        <f>SUM(B2:B5)</f>
        <v>28</v>
      </c>
      <c r="C7" s="17">
        <f>SUM(C2:C5)</f>
        <v>28</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1092</v>
      </c>
    </row>
    <row r="20" spans="1:8" x14ac:dyDescent="0.2">
      <c r="C20" s="5" t="s">
        <v>703</v>
      </c>
    </row>
    <row r="21" spans="1:8" x14ac:dyDescent="0.2">
      <c r="C21" s="5" t="s">
        <v>704</v>
      </c>
    </row>
    <row r="22" spans="1:8" x14ac:dyDescent="0.2">
      <c r="C22" s="5" t="s">
        <v>705</v>
      </c>
    </row>
    <row r="23" spans="1:8" x14ac:dyDescent="0.2">
      <c r="C23" s="5" t="s">
        <v>781</v>
      </c>
    </row>
    <row r="24" spans="1:8" x14ac:dyDescent="0.2">
      <c r="C24" s="5" t="s">
        <v>782</v>
      </c>
    </row>
    <row r="25" spans="1:8" x14ac:dyDescent="0.2">
      <c r="B25" s="5" t="s">
        <v>1093</v>
      </c>
    </row>
    <row r="26" spans="1:8" x14ac:dyDescent="0.2">
      <c r="D26" s="5" t="s">
        <v>703</v>
      </c>
    </row>
    <row r="27" spans="1:8" x14ac:dyDescent="0.2">
      <c r="D27" s="5" t="s">
        <v>704</v>
      </c>
    </row>
    <row r="28" spans="1:8" x14ac:dyDescent="0.2">
      <c r="D28" s="5" t="s">
        <v>705</v>
      </c>
    </row>
    <row r="29" spans="1:8" x14ac:dyDescent="0.2">
      <c r="D29" s="5" t="s">
        <v>781</v>
      </c>
    </row>
    <row r="30" spans="1:8" x14ac:dyDescent="0.2">
      <c r="D30" s="5" t="s">
        <v>782</v>
      </c>
    </row>
  </sheetData>
  <autoFilter ref="A18:H18"/>
  <conditionalFormatting sqref="C17">
    <cfRule type="cellIs" dxfId="119" priority="1" stopIfTrue="1" operator="equal">
      <formula>$B$10</formula>
    </cfRule>
    <cfRule type="cellIs" dxfId="118"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indexed="11"/>
  </sheetPr>
  <dimension ref="A1:H52"/>
  <sheetViews>
    <sheetView topLeftCell="A7" workbookViewId="0">
      <selection activeCell="F45" sqref="F45:H51"/>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17</v>
      </c>
      <c r="C2" s="15">
        <f>IF(ISERROR(VALUE(TRIM(CLEAN(MID(C20,FIND("(",C20)+1,FIND("/",C20,1)-FIND("(",C20)-1))))),0,VALUE(TRIM(CLEAN(MID(C20,FIND("(",C20)+1,FIND("/",C20,1)-FIND("(",C20)-1)))))</f>
        <v>15</v>
      </c>
    </row>
    <row r="3" spans="1:5" ht="22.5" x14ac:dyDescent="0.2">
      <c r="A3" s="20" t="s">
        <v>15</v>
      </c>
      <c r="B3" s="21">
        <f>IF(ISERROR(VALUE(TRIM(CLEAN(MID(C21,FIND("/",C21)+1,FIND(")",C21,1)-FIND("/",C21)-1))))),0,VALUE(TRIM(CLEAN(MID(C21,FIND("/",C21)+1,FIND(")",C21,1)-FIND("/",C21)-1)))))</f>
        <v>1</v>
      </c>
      <c r="C3" s="16">
        <f>IF(ISERROR(VALUE(TRIM(CLEAN(MID(C21,FIND("(",C21)+1,FIND("/",C21,1)-FIND("(",C21)-1))))),0,VALUE(TRIM(CLEAN(MID(C21,FIND("(",C21)+1,FIND("/",C21,1)-FIND("(",C21)-1)))))</f>
        <v>1</v>
      </c>
      <c r="E3" s="29" t="s">
        <v>1</v>
      </c>
    </row>
    <row r="4" spans="1:5" ht="22.5" x14ac:dyDescent="0.2">
      <c r="A4" s="20" t="s">
        <v>16</v>
      </c>
      <c r="B4" s="21">
        <f>IF(ISERROR(VALUE(TRIM(CLEAN(MID(C23,FIND("/",C23)+1,FIND(")",C23,1)-FIND("/",C23)-1))))),0,VALUE(TRIM(CLEAN(MID(C23,FIND("/",C23)+1,FIND(")",C23,1)-FIND("/",C23)-1)))))</f>
        <v>32</v>
      </c>
      <c r="C4" s="16">
        <f>IF(ISERROR(VALUE(TRIM(CLEAN(MID(C23,FIND("(",C23)+1,FIND("/",C23,1)-FIND("(",C23)-1))))),0,VALUE(TRIM(CLEAN(MID(C23,FIND("(",C23)+1,FIND("/",C23,1)-FIND("(",C23)-1)))))</f>
        <v>30</v>
      </c>
      <c r="E4" s="29" t="s">
        <v>2</v>
      </c>
    </row>
    <row r="5" spans="1:5" ht="22.5" x14ac:dyDescent="0.2">
      <c r="A5" s="20" t="s">
        <v>17</v>
      </c>
      <c r="B5" s="21">
        <f>IF(ISERROR(VALUE(TRIM(CLEAN(MID(C24,FIND("/",C24)+1,FIND(")",C24,1)-FIND("/",C24)-1))))),0,VALUE(TRIM(CLEAN(MID(C24,FIND("/",C24)+1,FIND(")",C24,1)-FIND("/",C24)-1)))))</f>
        <v>9</v>
      </c>
      <c r="C5" s="16">
        <f>IF(ISERROR(VALUE(TRIM(CLEAN(MID(C24,FIND("(",C24)+1,FIND("/",C24,1)-FIND("(",C24)-1))))),0,VALUE(TRIM(CLEAN(MID(C24,FIND("(",C24)+1,FIND("/",C24,1)-FIND("(",C24)-1)))))</f>
        <v>9</v>
      </c>
    </row>
    <row r="6" spans="1:5" x14ac:dyDescent="0.2">
      <c r="A6" s="20"/>
      <c r="B6" s="21"/>
      <c r="C6" s="16"/>
    </row>
    <row r="7" spans="1:5" ht="13.5" thickBot="1" x14ac:dyDescent="0.25">
      <c r="A7" s="22" t="s">
        <v>13</v>
      </c>
      <c r="B7" s="23">
        <f>SUM(B2:B5)</f>
        <v>59</v>
      </c>
      <c r="C7" s="17">
        <f>SUM(C2:C5)</f>
        <v>55</v>
      </c>
    </row>
    <row r="8" spans="1:5" x14ac:dyDescent="0.2">
      <c r="A8" s="12"/>
      <c r="B8" s="7"/>
      <c r="C8" s="7"/>
    </row>
    <row r="9" spans="1:5" ht="13.5" thickBot="1" x14ac:dyDescent="0.25">
      <c r="A9" s="10"/>
      <c r="B9" s="7"/>
      <c r="C9" s="7"/>
    </row>
    <row r="10" spans="1:5" ht="24" thickTop="1" thickBot="1" x14ac:dyDescent="0.25">
      <c r="A10" s="24" t="s">
        <v>18</v>
      </c>
      <c r="B10" s="26">
        <f>B7-C7</f>
        <v>4</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4</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4</v>
      </c>
    </row>
    <row r="18" spans="1:8" customFormat="1" ht="23.25" x14ac:dyDescent="0.25">
      <c r="A18" s="4" t="s">
        <v>3</v>
      </c>
      <c r="B18" s="6" t="s">
        <v>4</v>
      </c>
      <c r="C18" s="8" t="s">
        <v>6</v>
      </c>
      <c r="D18" s="8" t="s">
        <v>7</v>
      </c>
      <c r="E18" s="8" t="s">
        <v>5</v>
      </c>
      <c r="F18" s="3" t="s">
        <v>10</v>
      </c>
      <c r="G18" s="1" t="s">
        <v>9</v>
      </c>
      <c r="H18" s="2" t="s">
        <v>8</v>
      </c>
    </row>
    <row r="19" spans="1:8" x14ac:dyDescent="0.2">
      <c r="A19" s="5" t="s">
        <v>1095</v>
      </c>
    </row>
    <row r="20" spans="1:8" x14ac:dyDescent="0.2">
      <c r="C20" s="5" t="s">
        <v>1096</v>
      </c>
    </row>
    <row r="21" spans="1:8" x14ac:dyDescent="0.2">
      <c r="C21" s="5" t="s">
        <v>859</v>
      </c>
    </row>
    <row r="22" spans="1:8" x14ac:dyDescent="0.2">
      <c r="C22" s="5" t="s">
        <v>1097</v>
      </c>
    </row>
    <row r="23" spans="1:8" x14ac:dyDescent="0.2">
      <c r="C23" s="5" t="s">
        <v>1098</v>
      </c>
    </row>
    <row r="24" spans="1:8" x14ac:dyDescent="0.2">
      <c r="C24" s="5" t="s">
        <v>782</v>
      </c>
    </row>
    <row r="25" spans="1:8" x14ac:dyDescent="0.2">
      <c r="B25" s="5" t="s">
        <v>1099</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1100</v>
      </c>
    </row>
    <row r="32" spans="1:8" x14ac:dyDescent="0.2">
      <c r="D32" s="5" t="s">
        <v>703</v>
      </c>
    </row>
    <row r="33" spans="2:8" x14ac:dyDescent="0.2">
      <c r="D33" s="5" t="s">
        <v>704</v>
      </c>
    </row>
    <row r="34" spans="2:8" x14ac:dyDescent="0.2">
      <c r="D34" s="5" t="s">
        <v>705</v>
      </c>
    </row>
    <row r="35" spans="2:8" x14ac:dyDescent="0.2">
      <c r="D35" s="5" t="s">
        <v>711</v>
      </c>
    </row>
    <row r="36" spans="2:8" x14ac:dyDescent="0.2">
      <c r="D36" s="5" t="s">
        <v>712</v>
      </c>
    </row>
    <row r="37" spans="2:8" x14ac:dyDescent="0.2">
      <c r="B37" s="5" t="s">
        <v>1101</v>
      </c>
    </row>
    <row r="38" spans="2:8" x14ac:dyDescent="0.2">
      <c r="D38" s="5" t="s">
        <v>703</v>
      </c>
    </row>
    <row r="39" spans="2:8" x14ac:dyDescent="0.2">
      <c r="D39" s="5" t="s">
        <v>704</v>
      </c>
    </row>
    <row r="40" spans="2:8" x14ac:dyDescent="0.2">
      <c r="D40" s="5" t="s">
        <v>705</v>
      </c>
    </row>
    <row r="41" spans="2:8" x14ac:dyDescent="0.2">
      <c r="D41" s="5" t="s">
        <v>711</v>
      </c>
    </row>
    <row r="42" spans="2:8" x14ac:dyDescent="0.2">
      <c r="D42" s="5" t="s">
        <v>712</v>
      </c>
    </row>
    <row r="43" spans="2:8" x14ac:dyDescent="0.2">
      <c r="B43" s="5" t="s">
        <v>1102</v>
      </c>
    </row>
    <row r="44" spans="2:8" x14ac:dyDescent="0.2">
      <c r="D44" s="5" t="s">
        <v>1103</v>
      </c>
    </row>
    <row r="45" spans="2:8" x14ac:dyDescent="0.2">
      <c r="E45" s="5" t="s">
        <v>1104</v>
      </c>
      <c r="F45" s="5">
        <v>232</v>
      </c>
      <c r="G45" s="5" t="s">
        <v>23</v>
      </c>
      <c r="H45" s="5" t="s">
        <v>1925</v>
      </c>
    </row>
    <row r="46" spans="2:8" x14ac:dyDescent="0.2">
      <c r="E46" s="5" t="s">
        <v>1105</v>
      </c>
      <c r="F46" s="5">
        <v>311</v>
      </c>
      <c r="G46" s="5" t="s">
        <v>23</v>
      </c>
      <c r="H46" s="5" t="s">
        <v>1925</v>
      </c>
    </row>
    <row r="47" spans="2:8" x14ac:dyDescent="0.2">
      <c r="D47" s="5" t="s">
        <v>859</v>
      </c>
    </row>
    <row r="48" spans="2:8" x14ac:dyDescent="0.2">
      <c r="D48" s="5" t="s">
        <v>1106</v>
      </c>
    </row>
    <row r="49" spans="4:8" x14ac:dyDescent="0.2">
      <c r="D49" s="5" t="s">
        <v>1098</v>
      </c>
    </row>
    <row r="50" spans="4:8" x14ac:dyDescent="0.2">
      <c r="E50" s="5" t="s">
        <v>1107</v>
      </c>
      <c r="F50" s="5">
        <v>232</v>
      </c>
      <c r="G50" s="5" t="s">
        <v>23</v>
      </c>
      <c r="H50" s="5" t="s">
        <v>1925</v>
      </c>
    </row>
    <row r="51" spans="4:8" x14ac:dyDescent="0.2">
      <c r="E51" s="5" t="s">
        <v>1108</v>
      </c>
      <c r="F51" s="5">
        <v>311</v>
      </c>
      <c r="G51" s="5" t="s">
        <v>23</v>
      </c>
      <c r="H51" s="5" t="s">
        <v>1925</v>
      </c>
    </row>
    <row r="52" spans="4:8" x14ac:dyDescent="0.2">
      <c r="D52" s="5" t="s">
        <v>782</v>
      </c>
    </row>
  </sheetData>
  <autoFilter ref="A18:H18"/>
  <conditionalFormatting sqref="C17">
    <cfRule type="cellIs" dxfId="117" priority="1" stopIfTrue="1" operator="equal">
      <formula>$B$10</formula>
    </cfRule>
    <cfRule type="cellIs" dxfId="116"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indexed="11"/>
  </sheetPr>
  <dimension ref="A1:H48"/>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22</v>
      </c>
      <c r="C2" s="15">
        <f>IF(ISERROR(VALUE(TRIM(CLEAN(MID(C20,FIND("(",C20)+1,FIND("/",C20,1)-FIND("(",C20)-1))))),0,VALUE(TRIM(CLEAN(MID(C20,FIND("(",C20)+1,FIND("/",C20,1)-FIND("(",C20)-1)))))</f>
        <v>22</v>
      </c>
    </row>
    <row r="3" spans="1:5" ht="22.5" x14ac:dyDescent="0.2">
      <c r="A3" s="20" t="s">
        <v>15</v>
      </c>
      <c r="B3" s="21">
        <f>IF(ISERROR(VALUE(TRIM(CLEAN(MID(C21,FIND("/",C21)+1,FIND(")",C21,1)-FIND("/",C21)-1))))),0,VALUE(TRIM(CLEAN(MID(C21,FIND("/",C21)+1,FIND(")",C21,1)-FIND("/",C21)-1)))))</f>
        <v>1</v>
      </c>
      <c r="C3" s="16">
        <f>IF(ISERROR(VALUE(TRIM(CLEAN(MID(C21,FIND("(",C21)+1,FIND("/",C21,1)-FIND("(",C21)-1))))),0,VALUE(TRIM(CLEAN(MID(C21,FIND("(",C21)+1,FIND("/",C21,1)-FIND("(",C21)-1)))))</f>
        <v>1</v>
      </c>
      <c r="E3" s="29" t="s">
        <v>1</v>
      </c>
    </row>
    <row r="4" spans="1:5" ht="22.5" x14ac:dyDescent="0.2">
      <c r="A4" s="20" t="s">
        <v>16</v>
      </c>
      <c r="B4" s="21">
        <f>IF(ISERROR(VALUE(TRIM(CLEAN(MID(C23,FIND("/",C23)+1,FIND(")",C23,1)-FIND("/",C23)-1))))),0,VALUE(TRIM(CLEAN(MID(C23,FIND("/",C23)+1,FIND(")",C23,1)-FIND("/",C23)-1)))))</f>
        <v>177</v>
      </c>
      <c r="C4" s="16">
        <f>IF(ISERROR(VALUE(TRIM(CLEAN(MID(C23,FIND("(",C23)+1,FIND("/",C23,1)-FIND("(",C23)-1))))),0,VALUE(TRIM(CLEAN(MID(C23,FIND("(",C23)+1,FIND("/",C23,1)-FIND("(",C23)-1)))))</f>
        <v>177</v>
      </c>
      <c r="E4" s="29" t="s">
        <v>2</v>
      </c>
    </row>
    <row r="5" spans="1:5" ht="22.5" x14ac:dyDescent="0.2">
      <c r="A5" s="20" t="s">
        <v>17</v>
      </c>
      <c r="B5" s="21">
        <f>IF(ISERROR(VALUE(TRIM(CLEAN(MID(C24,FIND("/",C24)+1,FIND(")",C24,1)-FIND("/",C24)-1))))),0,VALUE(TRIM(CLEAN(MID(C24,FIND("/",C24)+1,FIND(")",C24,1)-FIND("/",C24)-1)))))</f>
        <v>80</v>
      </c>
      <c r="C5" s="16">
        <f>IF(ISERROR(VALUE(TRIM(CLEAN(MID(C24,FIND("(",C24)+1,FIND("/",C24,1)-FIND("(",C24)-1))))),0,VALUE(TRIM(CLEAN(MID(C24,FIND("(",C24)+1,FIND("/",C24,1)-FIND("(",C24)-1)))))</f>
        <v>80</v>
      </c>
    </row>
    <row r="6" spans="1:5" x14ac:dyDescent="0.2">
      <c r="A6" s="20"/>
      <c r="B6" s="21"/>
      <c r="C6" s="16"/>
    </row>
    <row r="7" spans="1:5" ht="13.5" thickBot="1" x14ac:dyDescent="0.25">
      <c r="A7" s="22" t="s">
        <v>13</v>
      </c>
      <c r="B7" s="23">
        <f>SUM(B2:B5)</f>
        <v>280</v>
      </c>
      <c r="C7" s="17">
        <f>SUM(C2:C5)</f>
        <v>280</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1110</v>
      </c>
    </row>
    <row r="20" spans="1:8" x14ac:dyDescent="0.2">
      <c r="C20" s="5" t="s">
        <v>1111</v>
      </c>
    </row>
    <row r="21" spans="1:8" x14ac:dyDescent="0.2">
      <c r="C21" s="5" t="s">
        <v>859</v>
      </c>
    </row>
    <row r="22" spans="1:8" x14ac:dyDescent="0.2">
      <c r="C22" s="5" t="s">
        <v>1112</v>
      </c>
    </row>
    <row r="23" spans="1:8" x14ac:dyDescent="0.2">
      <c r="C23" s="5" t="s">
        <v>1113</v>
      </c>
    </row>
    <row r="24" spans="1:8" x14ac:dyDescent="0.2">
      <c r="C24" s="5" t="s">
        <v>1114</v>
      </c>
    </row>
    <row r="25" spans="1:8" x14ac:dyDescent="0.2">
      <c r="B25" s="5" t="s">
        <v>1115</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1116</v>
      </c>
    </row>
    <row r="32" spans="1:8" x14ac:dyDescent="0.2">
      <c r="D32" s="5" t="s">
        <v>703</v>
      </c>
    </row>
    <row r="33" spans="2:4" x14ac:dyDescent="0.2">
      <c r="D33" s="5" t="s">
        <v>704</v>
      </c>
    </row>
    <row r="34" spans="2:4" x14ac:dyDescent="0.2">
      <c r="D34" s="5" t="s">
        <v>705</v>
      </c>
    </row>
    <row r="35" spans="2:4" x14ac:dyDescent="0.2">
      <c r="D35" s="5" t="s">
        <v>711</v>
      </c>
    </row>
    <row r="36" spans="2:4" x14ac:dyDescent="0.2">
      <c r="D36" s="5" t="s">
        <v>712</v>
      </c>
    </row>
    <row r="37" spans="2:4" x14ac:dyDescent="0.2">
      <c r="B37" s="5" t="s">
        <v>1117</v>
      </c>
    </row>
    <row r="38" spans="2:4" x14ac:dyDescent="0.2">
      <c r="D38" s="5" t="s">
        <v>1118</v>
      </c>
    </row>
    <row r="39" spans="2:4" x14ac:dyDescent="0.2">
      <c r="D39" s="5" t="s">
        <v>859</v>
      </c>
    </row>
    <row r="40" spans="2:4" x14ac:dyDescent="0.2">
      <c r="D40" s="5" t="s">
        <v>1119</v>
      </c>
    </row>
    <row r="41" spans="2:4" x14ac:dyDescent="0.2">
      <c r="D41" s="5" t="s">
        <v>1113</v>
      </c>
    </row>
    <row r="42" spans="2:4" x14ac:dyDescent="0.2">
      <c r="D42" s="5" t="s">
        <v>1114</v>
      </c>
    </row>
    <row r="43" spans="2:4" x14ac:dyDescent="0.2">
      <c r="B43" s="5" t="s">
        <v>1120</v>
      </c>
    </row>
    <row r="44" spans="2:4" x14ac:dyDescent="0.2">
      <c r="D44" s="5" t="s">
        <v>703</v>
      </c>
    </row>
    <row r="45" spans="2:4" x14ac:dyDescent="0.2">
      <c r="D45" s="5" t="s">
        <v>704</v>
      </c>
    </row>
    <row r="46" spans="2:4" x14ac:dyDescent="0.2">
      <c r="D46" s="5" t="s">
        <v>705</v>
      </c>
    </row>
    <row r="47" spans="2:4" x14ac:dyDescent="0.2">
      <c r="D47" s="5" t="s">
        <v>711</v>
      </c>
    </row>
    <row r="48" spans="2:4" x14ac:dyDescent="0.2">
      <c r="D48" s="5" t="s">
        <v>712</v>
      </c>
    </row>
  </sheetData>
  <autoFilter ref="A18:H18"/>
  <conditionalFormatting sqref="C17">
    <cfRule type="cellIs" dxfId="115" priority="1" stopIfTrue="1" operator="equal">
      <formula>$B$10</formula>
    </cfRule>
    <cfRule type="cellIs" dxfId="114"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6</v>
      </c>
      <c r="C2" s="15">
        <f>IF(ISERROR(VALUE(TRIM(CLEAN(MID(C20,FIND("(",C20)+1,FIND("/",C20,1)-FIND("(",C20)-1))))),0,VALUE(TRIM(CLEAN(MID(C20,FIND("(",C20)+1,FIND("/",C20,1)-FIND("(",C20)-1)))))</f>
        <v>6</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4</v>
      </c>
      <c r="C4" s="16">
        <f>IF(ISERROR(VALUE(TRIM(CLEAN(MID(C23,FIND("(",C23)+1,FIND("/",C23,1)-FIND("(",C23)-1))))),0,VALUE(TRIM(CLEAN(MID(C23,FIND("(",C23)+1,FIND("/",C23,1)-FIND("(",C23)-1)))))</f>
        <v>4</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10</v>
      </c>
      <c r="C7" s="17">
        <f>SUM(C2:C5)</f>
        <v>10</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1122</v>
      </c>
    </row>
    <row r="20" spans="1:8" x14ac:dyDescent="0.2">
      <c r="C20" s="5" t="s">
        <v>886</v>
      </c>
    </row>
    <row r="21" spans="1:8" x14ac:dyDescent="0.2">
      <c r="C21" s="5" t="s">
        <v>704</v>
      </c>
    </row>
    <row r="22" spans="1:8" x14ac:dyDescent="0.2">
      <c r="C22" s="5" t="s">
        <v>887</v>
      </c>
    </row>
    <row r="23" spans="1:8" x14ac:dyDescent="0.2">
      <c r="C23" s="5" t="s">
        <v>706</v>
      </c>
    </row>
    <row r="24" spans="1:8" x14ac:dyDescent="0.2">
      <c r="C24" s="5" t="s">
        <v>712</v>
      </c>
    </row>
    <row r="25" spans="1:8" x14ac:dyDescent="0.2">
      <c r="B25" s="5" t="s">
        <v>1123</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1124</v>
      </c>
    </row>
    <row r="32" spans="1:8" x14ac:dyDescent="0.2">
      <c r="D32" s="5" t="s">
        <v>864</v>
      </c>
    </row>
    <row r="33" spans="4:4" x14ac:dyDescent="0.2">
      <c r="D33" s="5" t="s">
        <v>704</v>
      </c>
    </row>
    <row r="34" spans="4:4" x14ac:dyDescent="0.2">
      <c r="D34" s="5" t="s">
        <v>865</v>
      </c>
    </row>
    <row r="35" spans="4:4" x14ac:dyDescent="0.2">
      <c r="D35" s="5" t="s">
        <v>706</v>
      </c>
    </row>
    <row r="36" spans="4:4" x14ac:dyDescent="0.2">
      <c r="D36" s="5" t="s">
        <v>712</v>
      </c>
    </row>
  </sheetData>
  <autoFilter ref="A18:H18"/>
  <conditionalFormatting sqref="C17">
    <cfRule type="cellIs" dxfId="113" priority="1" stopIfTrue="1" operator="equal">
      <formula>$B$10</formula>
    </cfRule>
    <cfRule type="cellIs" dxfId="112"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indexed="11"/>
  </sheetPr>
  <dimension ref="A1:H9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121</v>
      </c>
      <c r="C2" s="15">
        <f>IF(ISERROR(VALUE(TRIM(CLEAN(MID(C20,FIND("(",C20)+1,FIND("/",C20,1)-FIND("(",C20)-1))))),0,VALUE(TRIM(CLEAN(MID(C20,FIND("(",C20)+1,FIND("/",C20,1)-FIND("(",C20)-1)))))</f>
        <v>121</v>
      </c>
    </row>
    <row r="3" spans="1:5" ht="22.5" x14ac:dyDescent="0.2">
      <c r="A3" s="20" t="s">
        <v>15</v>
      </c>
      <c r="B3" s="21">
        <f>IF(ISERROR(VALUE(TRIM(CLEAN(MID(C21,FIND("/",C21)+1,FIND(")",C21,1)-FIND("/",C21)-1))))),0,VALUE(TRIM(CLEAN(MID(C21,FIND("/",C21)+1,FIND(")",C21,1)-FIND("/",C21)-1)))))</f>
        <v>3</v>
      </c>
      <c r="C3" s="16">
        <f>IF(ISERROR(VALUE(TRIM(CLEAN(MID(C21,FIND("(",C21)+1,FIND("/",C21,1)-FIND("(",C21)-1))))),0,VALUE(TRIM(CLEAN(MID(C21,FIND("(",C21)+1,FIND("/",C21,1)-FIND("(",C21)-1)))))</f>
        <v>3</v>
      </c>
      <c r="E3" s="29" t="s">
        <v>1</v>
      </c>
    </row>
    <row r="4" spans="1:5" ht="22.5" x14ac:dyDescent="0.2">
      <c r="A4" s="20" t="s">
        <v>16</v>
      </c>
      <c r="B4" s="21">
        <f>IF(ISERROR(VALUE(TRIM(CLEAN(MID(C23,FIND("/",C23)+1,FIND(")",C23,1)-FIND("/",C23)-1))))),0,VALUE(TRIM(CLEAN(MID(C23,FIND("/",C23)+1,FIND(")",C23,1)-FIND("/",C23)-1)))))</f>
        <v>188</v>
      </c>
      <c r="C4" s="16">
        <f>IF(ISERROR(VALUE(TRIM(CLEAN(MID(C23,FIND("(",C23)+1,FIND("/",C23,1)-FIND("(",C23)-1))))),0,VALUE(TRIM(CLEAN(MID(C23,FIND("(",C23)+1,FIND("/",C23,1)-FIND("(",C23)-1)))))</f>
        <v>188</v>
      </c>
      <c r="E4" s="29" t="s">
        <v>2</v>
      </c>
    </row>
    <row r="5" spans="1:5" ht="22.5" x14ac:dyDescent="0.2">
      <c r="A5" s="20" t="s">
        <v>17</v>
      </c>
      <c r="B5" s="21">
        <f>IF(ISERROR(VALUE(TRIM(CLEAN(MID(C24,FIND("/",C24)+1,FIND(")",C24,1)-FIND("/",C24)-1))))),0,VALUE(TRIM(CLEAN(MID(C24,FIND("/",C24)+1,FIND(")",C24,1)-FIND("/",C24)-1)))))</f>
        <v>38</v>
      </c>
      <c r="C5" s="16">
        <f>IF(ISERROR(VALUE(TRIM(CLEAN(MID(C24,FIND("(",C24)+1,FIND("/",C24,1)-FIND("(",C24)-1))))),0,VALUE(TRIM(CLEAN(MID(C24,FIND("(",C24)+1,FIND("/",C24,1)-FIND("(",C24)-1)))))</f>
        <v>38</v>
      </c>
    </row>
    <row r="6" spans="1:5" x14ac:dyDescent="0.2">
      <c r="A6" s="20"/>
      <c r="B6" s="21"/>
      <c r="C6" s="16"/>
    </row>
    <row r="7" spans="1:5" ht="13.5" thickBot="1" x14ac:dyDescent="0.25">
      <c r="A7" s="22" t="s">
        <v>13</v>
      </c>
      <c r="B7" s="23">
        <f>SUM(B2:B5)</f>
        <v>350</v>
      </c>
      <c r="C7" s="17">
        <f>SUM(C2:C5)</f>
        <v>350</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1126</v>
      </c>
    </row>
    <row r="20" spans="1:8" x14ac:dyDescent="0.2">
      <c r="C20" s="5" t="s">
        <v>1127</v>
      </c>
    </row>
    <row r="21" spans="1:8" x14ac:dyDescent="0.2">
      <c r="C21" s="5" t="s">
        <v>897</v>
      </c>
    </row>
    <row r="22" spans="1:8" x14ac:dyDescent="0.2">
      <c r="C22" s="5" t="s">
        <v>1128</v>
      </c>
    </row>
    <row r="23" spans="1:8" x14ac:dyDescent="0.2">
      <c r="C23" s="5" t="s">
        <v>1129</v>
      </c>
    </row>
    <row r="24" spans="1:8" x14ac:dyDescent="0.2">
      <c r="C24" s="5" t="s">
        <v>1130</v>
      </c>
    </row>
    <row r="25" spans="1:8" x14ac:dyDescent="0.2">
      <c r="B25" s="5" t="s">
        <v>1131</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1132</v>
      </c>
    </row>
    <row r="32" spans="1:8" x14ac:dyDescent="0.2">
      <c r="D32" s="5" t="s">
        <v>1000</v>
      </c>
    </row>
    <row r="33" spans="2:4" x14ac:dyDescent="0.2">
      <c r="D33" s="5" t="s">
        <v>859</v>
      </c>
    </row>
    <row r="34" spans="2:4" x14ac:dyDescent="0.2">
      <c r="D34" s="5" t="s">
        <v>883</v>
      </c>
    </row>
    <row r="35" spans="2:4" x14ac:dyDescent="0.2">
      <c r="D35" s="5" t="s">
        <v>1133</v>
      </c>
    </row>
    <row r="36" spans="2:4" x14ac:dyDescent="0.2">
      <c r="D36" s="5" t="s">
        <v>1134</v>
      </c>
    </row>
    <row r="37" spans="2:4" x14ac:dyDescent="0.2">
      <c r="B37" s="5" t="s">
        <v>1135</v>
      </c>
    </row>
    <row r="38" spans="2:4" x14ac:dyDescent="0.2">
      <c r="D38" s="5" t="s">
        <v>1071</v>
      </c>
    </row>
    <row r="39" spans="2:4" x14ac:dyDescent="0.2">
      <c r="D39" s="5" t="s">
        <v>859</v>
      </c>
    </row>
    <row r="40" spans="2:4" x14ac:dyDescent="0.2">
      <c r="D40" s="5" t="s">
        <v>1136</v>
      </c>
    </row>
    <row r="41" spans="2:4" x14ac:dyDescent="0.2">
      <c r="D41" s="5" t="s">
        <v>781</v>
      </c>
    </row>
    <row r="42" spans="2:4" x14ac:dyDescent="0.2">
      <c r="D42" s="5" t="s">
        <v>712</v>
      </c>
    </row>
    <row r="43" spans="2:4" x14ac:dyDescent="0.2">
      <c r="B43" s="5" t="s">
        <v>1137</v>
      </c>
    </row>
    <row r="44" spans="2:4" x14ac:dyDescent="0.2">
      <c r="D44" s="5" t="s">
        <v>864</v>
      </c>
    </row>
    <row r="45" spans="2:4" x14ac:dyDescent="0.2">
      <c r="D45" s="5" t="s">
        <v>704</v>
      </c>
    </row>
    <row r="46" spans="2:4" x14ac:dyDescent="0.2">
      <c r="D46" s="5" t="s">
        <v>865</v>
      </c>
    </row>
    <row r="47" spans="2:4" x14ac:dyDescent="0.2">
      <c r="D47" s="5" t="s">
        <v>706</v>
      </c>
    </row>
    <row r="48" spans="2:4" x14ac:dyDescent="0.2">
      <c r="D48" s="5" t="s">
        <v>712</v>
      </c>
    </row>
    <row r="49" spans="2:4" x14ac:dyDescent="0.2">
      <c r="B49" s="5" t="s">
        <v>1138</v>
      </c>
    </row>
    <row r="50" spans="2:4" x14ac:dyDescent="0.2">
      <c r="D50" s="5" t="s">
        <v>864</v>
      </c>
    </row>
    <row r="51" spans="2:4" x14ac:dyDescent="0.2">
      <c r="D51" s="5" t="s">
        <v>704</v>
      </c>
    </row>
    <row r="52" spans="2:4" x14ac:dyDescent="0.2">
      <c r="D52" s="5" t="s">
        <v>865</v>
      </c>
    </row>
    <row r="53" spans="2:4" x14ac:dyDescent="0.2">
      <c r="D53" s="5" t="s">
        <v>706</v>
      </c>
    </row>
    <row r="54" spans="2:4" x14ac:dyDescent="0.2">
      <c r="D54" s="5" t="s">
        <v>712</v>
      </c>
    </row>
    <row r="55" spans="2:4" x14ac:dyDescent="0.2">
      <c r="B55" s="5" t="s">
        <v>1139</v>
      </c>
    </row>
    <row r="56" spans="2:4" x14ac:dyDescent="0.2">
      <c r="D56" s="5" t="s">
        <v>1000</v>
      </c>
    </row>
    <row r="57" spans="2:4" x14ac:dyDescent="0.2">
      <c r="D57" s="5" t="s">
        <v>859</v>
      </c>
    </row>
    <row r="58" spans="2:4" x14ac:dyDescent="0.2">
      <c r="D58" s="5" t="s">
        <v>883</v>
      </c>
    </row>
    <row r="59" spans="2:4" x14ac:dyDescent="0.2">
      <c r="D59" s="5" t="s">
        <v>1026</v>
      </c>
    </row>
    <row r="60" spans="2:4" x14ac:dyDescent="0.2">
      <c r="D60" s="5" t="s">
        <v>712</v>
      </c>
    </row>
    <row r="61" spans="2:4" x14ac:dyDescent="0.2">
      <c r="B61" s="5" t="s">
        <v>1140</v>
      </c>
    </row>
    <row r="62" spans="2:4" x14ac:dyDescent="0.2">
      <c r="D62" s="5" t="s">
        <v>703</v>
      </c>
    </row>
    <row r="63" spans="2:4" x14ac:dyDescent="0.2">
      <c r="D63" s="5" t="s">
        <v>704</v>
      </c>
    </row>
    <row r="64" spans="2:4" x14ac:dyDescent="0.2">
      <c r="D64" s="5" t="s">
        <v>705</v>
      </c>
    </row>
    <row r="65" spans="2:4" x14ac:dyDescent="0.2">
      <c r="D65" s="5" t="s">
        <v>711</v>
      </c>
    </row>
    <row r="66" spans="2:4" x14ac:dyDescent="0.2">
      <c r="D66" s="5" t="s">
        <v>712</v>
      </c>
    </row>
    <row r="67" spans="2:4" x14ac:dyDescent="0.2">
      <c r="B67" s="5" t="s">
        <v>1141</v>
      </c>
    </row>
    <row r="68" spans="2:4" x14ac:dyDescent="0.2">
      <c r="D68" s="5" t="s">
        <v>1142</v>
      </c>
    </row>
    <row r="69" spans="2:4" x14ac:dyDescent="0.2">
      <c r="D69" s="5" t="s">
        <v>704</v>
      </c>
    </row>
    <row r="70" spans="2:4" x14ac:dyDescent="0.2">
      <c r="D70" s="5" t="s">
        <v>1143</v>
      </c>
    </row>
    <row r="71" spans="2:4" x14ac:dyDescent="0.2">
      <c r="D71" s="5" t="s">
        <v>1144</v>
      </c>
    </row>
    <row r="72" spans="2:4" x14ac:dyDescent="0.2">
      <c r="D72" s="5" t="s">
        <v>712</v>
      </c>
    </row>
    <row r="73" spans="2:4" x14ac:dyDescent="0.2">
      <c r="B73" s="5" t="s">
        <v>1145</v>
      </c>
    </row>
    <row r="74" spans="2:4" x14ac:dyDescent="0.2">
      <c r="D74" s="5" t="s">
        <v>703</v>
      </c>
    </row>
    <row r="75" spans="2:4" x14ac:dyDescent="0.2">
      <c r="D75" s="5" t="s">
        <v>704</v>
      </c>
    </row>
    <row r="76" spans="2:4" x14ac:dyDescent="0.2">
      <c r="D76" s="5" t="s">
        <v>705</v>
      </c>
    </row>
    <row r="77" spans="2:4" x14ac:dyDescent="0.2">
      <c r="D77" s="5" t="s">
        <v>711</v>
      </c>
    </row>
    <row r="78" spans="2:4" x14ac:dyDescent="0.2">
      <c r="D78" s="5" t="s">
        <v>712</v>
      </c>
    </row>
    <row r="79" spans="2:4" x14ac:dyDescent="0.2">
      <c r="B79" s="5" t="s">
        <v>1146</v>
      </c>
    </row>
    <row r="80" spans="2:4" x14ac:dyDescent="0.2">
      <c r="D80" s="5" t="s">
        <v>703</v>
      </c>
    </row>
    <row r="81" spans="2:4" x14ac:dyDescent="0.2">
      <c r="D81" s="5" t="s">
        <v>704</v>
      </c>
    </row>
    <row r="82" spans="2:4" x14ac:dyDescent="0.2">
      <c r="D82" s="5" t="s">
        <v>705</v>
      </c>
    </row>
    <row r="83" spans="2:4" x14ac:dyDescent="0.2">
      <c r="D83" s="5" t="s">
        <v>711</v>
      </c>
    </row>
    <row r="84" spans="2:4" x14ac:dyDescent="0.2">
      <c r="D84" s="5" t="s">
        <v>712</v>
      </c>
    </row>
    <row r="85" spans="2:4" x14ac:dyDescent="0.2">
      <c r="B85" s="5" t="s">
        <v>1147</v>
      </c>
    </row>
    <row r="86" spans="2:4" x14ac:dyDescent="0.2">
      <c r="D86" s="5" t="s">
        <v>703</v>
      </c>
    </row>
    <row r="87" spans="2:4" x14ac:dyDescent="0.2">
      <c r="D87" s="5" t="s">
        <v>704</v>
      </c>
    </row>
    <row r="88" spans="2:4" x14ac:dyDescent="0.2">
      <c r="D88" s="5" t="s">
        <v>705</v>
      </c>
    </row>
    <row r="89" spans="2:4" x14ac:dyDescent="0.2">
      <c r="D89" s="5" t="s">
        <v>730</v>
      </c>
    </row>
    <row r="90" spans="2:4" x14ac:dyDescent="0.2">
      <c r="D90" s="5" t="s">
        <v>731</v>
      </c>
    </row>
    <row r="91" spans="2:4" x14ac:dyDescent="0.2">
      <c r="B91" s="5" t="s">
        <v>1148</v>
      </c>
    </row>
    <row r="92" spans="2:4" x14ac:dyDescent="0.2">
      <c r="D92" s="5" t="s">
        <v>703</v>
      </c>
    </row>
    <row r="93" spans="2:4" x14ac:dyDescent="0.2">
      <c r="D93" s="5" t="s">
        <v>704</v>
      </c>
    </row>
    <row r="94" spans="2:4" x14ac:dyDescent="0.2">
      <c r="D94" s="5" t="s">
        <v>705</v>
      </c>
    </row>
    <row r="95" spans="2:4" x14ac:dyDescent="0.2">
      <c r="D95" s="5" t="s">
        <v>711</v>
      </c>
    </row>
    <row r="96" spans="2:4" x14ac:dyDescent="0.2">
      <c r="D96" s="5" t="s">
        <v>712</v>
      </c>
    </row>
  </sheetData>
  <autoFilter ref="A18:H18"/>
  <conditionalFormatting sqref="C17">
    <cfRule type="cellIs" dxfId="111" priority="1" stopIfTrue="1" operator="equal">
      <formula>$B$10</formula>
    </cfRule>
    <cfRule type="cellIs" dxfId="110"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indexed="11"/>
  </sheetPr>
  <dimension ref="A1:H36"/>
  <sheetViews>
    <sheetView workbookViewId="0">
      <selection activeCell="E3" sqref="E3"/>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22</v>
      </c>
      <c r="C2" s="15">
        <f>IF(ISERROR(VALUE(TRIM(CLEAN(MID(C20,FIND("(",C20)+1,FIND("/",C20,1)-FIND("(",C20)-1))))),0,VALUE(TRIM(CLEAN(MID(C20,FIND("(",C20)+1,FIND("/",C20,1)-FIND("(",C20)-1)))))</f>
        <v>22</v>
      </c>
    </row>
    <row r="3" spans="1:5" ht="22.5" x14ac:dyDescent="0.2">
      <c r="A3" s="20" t="s">
        <v>15</v>
      </c>
      <c r="B3" s="21">
        <f>IF(ISERROR(VALUE(TRIM(CLEAN(MID(C21,FIND("/",C21)+1,FIND(")",C21,1)-FIND("/",C21)-1))))),0,VALUE(TRIM(CLEAN(MID(C21,FIND("/",C21)+1,FIND(")",C21,1)-FIND("/",C21)-1)))))</f>
        <v>2</v>
      </c>
      <c r="C3" s="16">
        <f>IF(ISERROR(VALUE(TRIM(CLEAN(MID(C21,FIND("(",C21)+1,FIND("/",C21,1)-FIND("(",C21)-1))))),0,VALUE(TRIM(CLEAN(MID(C21,FIND("(",C21)+1,FIND("/",C21,1)-FIND("(",C21)-1)))))</f>
        <v>2</v>
      </c>
      <c r="E3" s="29" t="s">
        <v>1</v>
      </c>
    </row>
    <row r="4" spans="1:5" ht="22.5" x14ac:dyDescent="0.2">
      <c r="A4" s="20" t="s">
        <v>16</v>
      </c>
      <c r="B4" s="21">
        <f>IF(ISERROR(VALUE(TRIM(CLEAN(MID(C23,FIND("/",C23)+1,FIND(")",C23,1)-FIND("/",C23)-1))))),0,VALUE(TRIM(CLEAN(MID(C23,FIND("/",C23)+1,FIND(")",C23,1)-FIND("/",C23)-1)))))</f>
        <v>26</v>
      </c>
      <c r="C4" s="16">
        <f>IF(ISERROR(VALUE(TRIM(CLEAN(MID(C23,FIND("(",C23)+1,FIND("/",C23,1)-FIND("(",C23)-1))))),0,VALUE(TRIM(CLEAN(MID(C23,FIND("(",C23)+1,FIND("/",C23,1)-FIND("(",C23)-1)))))</f>
        <v>26</v>
      </c>
      <c r="E4" s="29" t="s">
        <v>2</v>
      </c>
    </row>
    <row r="5" spans="1:5" ht="22.5" x14ac:dyDescent="0.2">
      <c r="A5" s="20" t="s">
        <v>17</v>
      </c>
      <c r="B5" s="21">
        <f>IF(ISERROR(VALUE(TRIM(CLEAN(MID(C24,FIND("/",C24)+1,FIND(")",C24,1)-FIND("/",C24)-1))))),0,VALUE(TRIM(CLEAN(MID(C24,FIND("/",C24)+1,FIND(")",C24,1)-FIND("/",C24)-1)))))</f>
        <v>4</v>
      </c>
      <c r="C5" s="16">
        <f>IF(ISERROR(VALUE(TRIM(CLEAN(MID(C24,FIND("(",C24)+1,FIND("/",C24,1)-FIND("(",C24)-1))))),0,VALUE(TRIM(CLEAN(MID(C24,FIND("(",C24)+1,FIND("/",C24,1)-FIND("(",C24)-1)))))</f>
        <v>4</v>
      </c>
    </row>
    <row r="6" spans="1:5" x14ac:dyDescent="0.2">
      <c r="A6" s="20"/>
      <c r="B6" s="21"/>
      <c r="C6" s="16"/>
    </row>
    <row r="7" spans="1:5" ht="13.5" thickBot="1" x14ac:dyDescent="0.25">
      <c r="A7" s="22" t="s">
        <v>13</v>
      </c>
      <c r="B7" s="23">
        <f>SUM(B2:B5)</f>
        <v>54</v>
      </c>
      <c r="C7" s="17">
        <f>SUM(C2:C5)</f>
        <v>54</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1150</v>
      </c>
    </row>
    <row r="20" spans="1:8" x14ac:dyDescent="0.2">
      <c r="C20" s="5" t="s">
        <v>1111</v>
      </c>
    </row>
    <row r="21" spans="1:8" x14ac:dyDescent="0.2">
      <c r="C21" s="5" t="s">
        <v>834</v>
      </c>
    </row>
    <row r="22" spans="1:8" x14ac:dyDescent="0.2">
      <c r="C22" s="5" t="s">
        <v>1151</v>
      </c>
    </row>
    <row r="23" spans="1:8" x14ac:dyDescent="0.2">
      <c r="C23" s="5" t="s">
        <v>1152</v>
      </c>
    </row>
    <row r="24" spans="1:8" x14ac:dyDescent="0.2">
      <c r="C24" s="5" t="s">
        <v>744</v>
      </c>
    </row>
    <row r="25" spans="1:8" x14ac:dyDescent="0.2">
      <c r="B25" s="5" t="s">
        <v>1153</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1154</v>
      </c>
    </row>
    <row r="32" spans="1:8" x14ac:dyDescent="0.2">
      <c r="D32" s="5" t="s">
        <v>1066</v>
      </c>
    </row>
    <row r="33" spans="4:4" x14ac:dyDescent="0.2">
      <c r="D33" s="5" t="s">
        <v>834</v>
      </c>
    </row>
    <row r="34" spans="4:4" x14ac:dyDescent="0.2">
      <c r="D34" s="5" t="s">
        <v>1112</v>
      </c>
    </row>
    <row r="35" spans="4:4" x14ac:dyDescent="0.2">
      <c r="D35" s="5" t="s">
        <v>1152</v>
      </c>
    </row>
    <row r="36" spans="4:4" x14ac:dyDescent="0.2">
      <c r="D36" s="5" t="s">
        <v>744</v>
      </c>
    </row>
  </sheetData>
  <autoFilter ref="A18:H18"/>
  <conditionalFormatting sqref="C17">
    <cfRule type="cellIs" dxfId="109" priority="1" stopIfTrue="1" operator="equal">
      <formula>$B$10</formula>
    </cfRule>
    <cfRule type="cellIs" dxfId="108"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2</v>
      </c>
      <c r="C2" s="15">
        <f>IF(ISERROR(VALUE(TRIM(CLEAN(MID(C20,FIND("(",C20)+1,FIND("/",C20,1)-FIND("(",C20)-1))))),0,VALUE(TRIM(CLEAN(MID(C20,FIND("(",C20)+1,FIND("/",C20,1)-FIND("(",C20)-1)))))</f>
        <v>2</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0</v>
      </c>
      <c r="C4" s="16">
        <f>IF(ISERROR(VALUE(TRIM(CLEAN(MID(C23,FIND("(",C23)+1,FIND("/",C23,1)-FIND("(",C23)-1))))),0,VALUE(TRIM(CLEAN(MID(C23,FIND("(",C23)+1,FIND("/",C23,1)-FIND("(",C23)-1)))))</f>
        <v>0</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2</v>
      </c>
      <c r="C7" s="17">
        <f>SUM(C2:C5)</f>
        <v>2</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1156</v>
      </c>
    </row>
    <row r="20" spans="1:8" x14ac:dyDescent="0.2">
      <c r="C20" s="5" t="s">
        <v>1000</v>
      </c>
    </row>
    <row r="21" spans="1:8" x14ac:dyDescent="0.2">
      <c r="C21" s="5" t="s">
        <v>704</v>
      </c>
    </row>
    <row r="22" spans="1:8" x14ac:dyDescent="0.2">
      <c r="C22" s="5" t="s">
        <v>1001</v>
      </c>
    </row>
    <row r="23" spans="1:8" x14ac:dyDescent="0.2">
      <c r="C23" s="5" t="s">
        <v>711</v>
      </c>
    </row>
    <row r="24" spans="1:8" x14ac:dyDescent="0.2">
      <c r="C24" s="5" t="s">
        <v>712</v>
      </c>
    </row>
    <row r="25" spans="1:8" x14ac:dyDescent="0.2">
      <c r="B25" s="5" t="s">
        <v>1157</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1158</v>
      </c>
    </row>
    <row r="32" spans="1:8" x14ac:dyDescent="0.2">
      <c r="D32" s="5" t="s">
        <v>703</v>
      </c>
    </row>
    <row r="33" spans="4:4" x14ac:dyDescent="0.2">
      <c r="D33" s="5" t="s">
        <v>704</v>
      </c>
    </row>
    <row r="34" spans="4:4" x14ac:dyDescent="0.2">
      <c r="D34" s="5" t="s">
        <v>705</v>
      </c>
    </row>
    <row r="35" spans="4:4" x14ac:dyDescent="0.2">
      <c r="D35" s="5" t="s">
        <v>711</v>
      </c>
    </row>
    <row r="36" spans="4:4" x14ac:dyDescent="0.2">
      <c r="D36" s="5" t="s">
        <v>712</v>
      </c>
    </row>
  </sheetData>
  <autoFilter ref="A18:H18"/>
  <conditionalFormatting sqref="C17">
    <cfRule type="cellIs" dxfId="107" priority="1" stopIfTrue="1" operator="equal">
      <formula>$B$10</formula>
    </cfRule>
    <cfRule type="cellIs" dxfId="106"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2</v>
      </c>
      <c r="C2" s="15">
        <f>IF(ISERROR(VALUE(TRIM(CLEAN(MID(C20,FIND("(",C20)+1,FIND("/",C20,1)-FIND("(",C20)-1))))),0,VALUE(TRIM(CLEAN(MID(C20,FIND("(",C20)+1,FIND("/",C20,1)-FIND("(",C20)-1)))))</f>
        <v>2</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0</v>
      </c>
      <c r="C4" s="16">
        <f>IF(ISERROR(VALUE(TRIM(CLEAN(MID(C23,FIND("(",C23)+1,FIND("/",C23,1)-FIND("(",C23)-1))))),0,VALUE(TRIM(CLEAN(MID(C23,FIND("(",C23)+1,FIND("/",C23,1)-FIND("(",C23)-1)))))</f>
        <v>0</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2</v>
      </c>
      <c r="C7" s="17">
        <f>SUM(C2:C5)</f>
        <v>2</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1160</v>
      </c>
    </row>
    <row r="20" spans="1:8" x14ac:dyDescent="0.2">
      <c r="C20" s="5" t="s">
        <v>1000</v>
      </c>
    </row>
    <row r="21" spans="1:8" x14ac:dyDescent="0.2">
      <c r="C21" s="5" t="s">
        <v>704</v>
      </c>
    </row>
    <row r="22" spans="1:8" x14ac:dyDescent="0.2">
      <c r="C22" s="5" t="s">
        <v>1001</v>
      </c>
    </row>
    <row r="23" spans="1:8" x14ac:dyDescent="0.2">
      <c r="C23" s="5" t="s">
        <v>711</v>
      </c>
    </row>
    <row r="24" spans="1:8" x14ac:dyDescent="0.2">
      <c r="C24" s="5" t="s">
        <v>712</v>
      </c>
    </row>
    <row r="25" spans="1:8" x14ac:dyDescent="0.2">
      <c r="B25" s="5" t="s">
        <v>1161</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1162</v>
      </c>
    </row>
    <row r="32" spans="1:8" x14ac:dyDescent="0.2">
      <c r="D32" s="5" t="s">
        <v>703</v>
      </c>
    </row>
    <row r="33" spans="4:4" x14ac:dyDescent="0.2">
      <c r="D33" s="5" t="s">
        <v>704</v>
      </c>
    </row>
    <row r="34" spans="4:4" x14ac:dyDescent="0.2">
      <c r="D34" s="5" t="s">
        <v>705</v>
      </c>
    </row>
    <row r="35" spans="4:4" x14ac:dyDescent="0.2">
      <c r="D35" s="5" t="s">
        <v>711</v>
      </c>
    </row>
    <row r="36" spans="4:4" x14ac:dyDescent="0.2">
      <c r="D36" s="5" t="s">
        <v>712</v>
      </c>
    </row>
  </sheetData>
  <autoFilter ref="A18:H18"/>
  <conditionalFormatting sqref="C17">
    <cfRule type="cellIs" dxfId="105" priority="1" stopIfTrue="1" operator="equal">
      <formula>$B$10</formula>
    </cfRule>
    <cfRule type="cellIs" dxfId="104"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indexed="11"/>
  </sheetPr>
  <dimension ref="A1:H48"/>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4</v>
      </c>
      <c r="C2" s="15">
        <f>IF(ISERROR(VALUE(TRIM(CLEAN(MID(C20,FIND("(",C20)+1,FIND("/",C20,1)-FIND("(",C20)-1))))),0,VALUE(TRIM(CLEAN(MID(C20,FIND("(",C20)+1,FIND("/",C20,1)-FIND("(",C20)-1)))))</f>
        <v>4</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92</v>
      </c>
      <c r="C4" s="16">
        <f>IF(ISERROR(VALUE(TRIM(CLEAN(MID(C23,FIND("(",C23)+1,FIND("/",C23,1)-FIND("(",C23)-1))))),0,VALUE(TRIM(CLEAN(MID(C23,FIND("(",C23)+1,FIND("/",C23,1)-FIND("(",C23)-1)))))</f>
        <v>92</v>
      </c>
      <c r="E4" s="29" t="s">
        <v>2</v>
      </c>
    </row>
    <row r="5" spans="1:5" ht="22.5" x14ac:dyDescent="0.2">
      <c r="A5" s="20" t="s">
        <v>17</v>
      </c>
      <c r="B5" s="21">
        <f>IF(ISERROR(VALUE(TRIM(CLEAN(MID(C24,FIND("/",C24)+1,FIND(")",C24,1)-FIND("/",C24)-1))))),0,VALUE(TRIM(CLEAN(MID(C24,FIND("/",C24)+1,FIND(")",C24,1)-FIND("/",C24)-1)))))</f>
        <v>46</v>
      </c>
      <c r="C5" s="16">
        <f>IF(ISERROR(VALUE(TRIM(CLEAN(MID(C24,FIND("(",C24)+1,FIND("/",C24,1)-FIND("(",C24)-1))))),0,VALUE(TRIM(CLEAN(MID(C24,FIND("(",C24)+1,FIND("/",C24,1)-FIND("(",C24)-1)))))</f>
        <v>46</v>
      </c>
    </row>
    <row r="6" spans="1:5" x14ac:dyDescent="0.2">
      <c r="A6" s="20"/>
      <c r="B6" s="21"/>
      <c r="C6" s="16"/>
    </row>
    <row r="7" spans="1:5" ht="13.5" thickBot="1" x14ac:dyDescent="0.25">
      <c r="A7" s="22" t="s">
        <v>13</v>
      </c>
      <c r="B7" s="23">
        <f>SUM(B2:B5)</f>
        <v>142</v>
      </c>
      <c r="C7" s="17">
        <f>SUM(C2:C5)</f>
        <v>142</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1164</v>
      </c>
    </row>
    <row r="20" spans="1:8" x14ac:dyDescent="0.2">
      <c r="C20" s="5" t="s">
        <v>877</v>
      </c>
    </row>
    <row r="21" spans="1:8" x14ac:dyDescent="0.2">
      <c r="C21" s="5" t="s">
        <v>704</v>
      </c>
    </row>
    <row r="22" spans="1:8" x14ac:dyDescent="0.2">
      <c r="C22" s="5" t="s">
        <v>878</v>
      </c>
    </row>
    <row r="23" spans="1:8" x14ac:dyDescent="0.2">
      <c r="C23" s="5" t="s">
        <v>1165</v>
      </c>
    </row>
    <row r="24" spans="1:8" x14ac:dyDescent="0.2">
      <c r="C24" s="5" t="s">
        <v>1166</v>
      </c>
    </row>
    <row r="25" spans="1:8" x14ac:dyDescent="0.2">
      <c r="B25" s="5" t="s">
        <v>1167</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1168</v>
      </c>
    </row>
    <row r="32" spans="1:8" x14ac:dyDescent="0.2">
      <c r="D32" s="5" t="s">
        <v>703</v>
      </c>
    </row>
    <row r="33" spans="2:4" x14ac:dyDescent="0.2">
      <c r="D33" s="5" t="s">
        <v>704</v>
      </c>
    </row>
    <row r="34" spans="2:4" x14ac:dyDescent="0.2">
      <c r="D34" s="5" t="s">
        <v>705</v>
      </c>
    </row>
    <row r="35" spans="2:4" x14ac:dyDescent="0.2">
      <c r="D35" s="5" t="s">
        <v>711</v>
      </c>
    </row>
    <row r="36" spans="2:4" x14ac:dyDescent="0.2">
      <c r="D36" s="5" t="s">
        <v>712</v>
      </c>
    </row>
    <row r="37" spans="2:4" x14ac:dyDescent="0.2">
      <c r="B37" s="5" t="s">
        <v>1169</v>
      </c>
    </row>
    <row r="38" spans="2:4" x14ac:dyDescent="0.2">
      <c r="D38" s="5" t="s">
        <v>703</v>
      </c>
    </row>
    <row r="39" spans="2:4" x14ac:dyDescent="0.2">
      <c r="D39" s="5" t="s">
        <v>704</v>
      </c>
    </row>
    <row r="40" spans="2:4" x14ac:dyDescent="0.2">
      <c r="D40" s="5" t="s">
        <v>705</v>
      </c>
    </row>
    <row r="41" spans="2:4" x14ac:dyDescent="0.2">
      <c r="D41" s="5" t="s">
        <v>1165</v>
      </c>
    </row>
    <row r="42" spans="2:4" x14ac:dyDescent="0.2">
      <c r="D42" s="5" t="s">
        <v>1166</v>
      </c>
    </row>
    <row r="43" spans="2:4" x14ac:dyDescent="0.2">
      <c r="B43" s="5" t="s">
        <v>1170</v>
      </c>
    </row>
    <row r="44" spans="2:4" x14ac:dyDescent="0.2">
      <c r="D44" s="5" t="s">
        <v>703</v>
      </c>
    </row>
    <row r="45" spans="2:4" x14ac:dyDescent="0.2">
      <c r="D45" s="5" t="s">
        <v>704</v>
      </c>
    </row>
    <row r="46" spans="2:4" x14ac:dyDescent="0.2">
      <c r="D46" s="5" t="s">
        <v>705</v>
      </c>
    </row>
    <row r="47" spans="2:4" x14ac:dyDescent="0.2">
      <c r="D47" s="5" t="s">
        <v>711</v>
      </c>
    </row>
    <row r="48" spans="2:4" x14ac:dyDescent="0.2">
      <c r="D48" s="5" t="s">
        <v>712</v>
      </c>
    </row>
  </sheetData>
  <autoFilter ref="A18:H18"/>
  <conditionalFormatting sqref="C17">
    <cfRule type="cellIs" dxfId="103" priority="1" stopIfTrue="1" operator="equal">
      <formula>$B$10</formula>
    </cfRule>
    <cfRule type="cellIs" dxfId="102"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2</v>
      </c>
      <c r="C2" s="15">
        <f>IF(ISERROR(VALUE(TRIM(CLEAN(MID(C20,FIND("(",C20)+1,FIND("/",C20,1)-FIND("(",C20)-1))))),0,VALUE(TRIM(CLEAN(MID(C20,FIND("(",C20)+1,FIND("/",C20,1)-FIND("(",C20)-1)))))</f>
        <v>2</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12</v>
      </c>
      <c r="C4" s="16">
        <f>IF(ISERROR(VALUE(TRIM(CLEAN(MID(C23,FIND("(",C23)+1,FIND("/",C23,1)-FIND("(",C23)-1))))),0,VALUE(TRIM(CLEAN(MID(C23,FIND("(",C23)+1,FIND("/",C23,1)-FIND("(",C23)-1)))))</f>
        <v>12</v>
      </c>
      <c r="E4" s="29" t="s">
        <v>2</v>
      </c>
    </row>
    <row r="5" spans="1:5" ht="22.5" x14ac:dyDescent="0.2">
      <c r="A5" s="20" t="s">
        <v>17</v>
      </c>
      <c r="B5" s="21">
        <f>IF(ISERROR(VALUE(TRIM(CLEAN(MID(C24,FIND("/",C24)+1,FIND(")",C24,1)-FIND("/",C24)-1))))),0,VALUE(TRIM(CLEAN(MID(C24,FIND("/",C24)+1,FIND(")",C24,1)-FIND("/",C24)-1)))))</f>
        <v>6</v>
      </c>
      <c r="C5" s="16">
        <f>IF(ISERROR(VALUE(TRIM(CLEAN(MID(C24,FIND("(",C24)+1,FIND("/",C24,1)-FIND("(",C24)-1))))),0,VALUE(TRIM(CLEAN(MID(C24,FIND("(",C24)+1,FIND("/",C24,1)-FIND("(",C24)-1)))))</f>
        <v>6</v>
      </c>
    </row>
    <row r="6" spans="1:5" x14ac:dyDescent="0.2">
      <c r="A6" s="20"/>
      <c r="B6" s="21"/>
      <c r="C6" s="16"/>
    </row>
    <row r="7" spans="1:5" ht="13.5" thickBot="1" x14ac:dyDescent="0.25">
      <c r="A7" s="22" t="s">
        <v>13</v>
      </c>
      <c r="B7" s="23">
        <f>SUM(B2:B5)</f>
        <v>20</v>
      </c>
      <c r="C7" s="17">
        <f>SUM(C2:C5)</f>
        <v>20</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1172</v>
      </c>
    </row>
    <row r="20" spans="1:8" x14ac:dyDescent="0.2">
      <c r="C20" s="5" t="s">
        <v>1000</v>
      </c>
    </row>
    <row r="21" spans="1:8" x14ac:dyDescent="0.2">
      <c r="C21" s="5" t="s">
        <v>704</v>
      </c>
    </row>
    <row r="22" spans="1:8" x14ac:dyDescent="0.2">
      <c r="C22" s="5" t="s">
        <v>1001</v>
      </c>
    </row>
    <row r="23" spans="1:8" x14ac:dyDescent="0.2">
      <c r="C23" s="5" t="s">
        <v>794</v>
      </c>
    </row>
    <row r="24" spans="1:8" x14ac:dyDescent="0.2">
      <c r="C24" s="5" t="s">
        <v>795</v>
      </c>
    </row>
    <row r="25" spans="1:8" x14ac:dyDescent="0.2">
      <c r="B25" s="5" t="s">
        <v>1173</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1174</v>
      </c>
    </row>
    <row r="32" spans="1:8" x14ac:dyDescent="0.2">
      <c r="D32" s="5" t="s">
        <v>703</v>
      </c>
    </row>
    <row r="33" spans="4:4" x14ac:dyDescent="0.2">
      <c r="D33" s="5" t="s">
        <v>704</v>
      </c>
    </row>
    <row r="34" spans="4:4" x14ac:dyDescent="0.2">
      <c r="D34" s="5" t="s">
        <v>705</v>
      </c>
    </row>
    <row r="35" spans="4:4" x14ac:dyDescent="0.2">
      <c r="D35" s="5" t="s">
        <v>794</v>
      </c>
    </row>
    <row r="36" spans="4:4" x14ac:dyDescent="0.2">
      <c r="D36" s="5" t="s">
        <v>795</v>
      </c>
    </row>
  </sheetData>
  <autoFilter ref="A18:H18"/>
  <conditionalFormatting sqref="C17">
    <cfRule type="cellIs" dxfId="101" priority="1" stopIfTrue="1" operator="equal">
      <formula>$B$10</formula>
    </cfRule>
    <cfRule type="cellIs" dxfId="100"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2</v>
      </c>
      <c r="C2" s="15">
        <f>IF(ISERROR(VALUE(TRIM(CLEAN(MID(C20,FIND("(",C20)+1,FIND("/",C20,1)-FIND("(",C20)-1))))),0,VALUE(TRIM(CLEAN(MID(C20,FIND("(",C20)+1,FIND("/",C20,1)-FIND("(",C20)-1)))))</f>
        <v>2</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8</v>
      </c>
      <c r="C4" s="16">
        <f>IF(ISERROR(VALUE(TRIM(CLEAN(MID(C23,FIND("(",C23)+1,FIND("/",C23,1)-FIND("(",C23)-1))))),0,VALUE(TRIM(CLEAN(MID(C23,FIND("(",C23)+1,FIND("/",C23,1)-FIND("(",C23)-1)))))</f>
        <v>8</v>
      </c>
      <c r="E4" s="29" t="s">
        <v>2</v>
      </c>
    </row>
    <row r="5" spans="1:5" ht="22.5" x14ac:dyDescent="0.2">
      <c r="A5" s="20" t="s">
        <v>17</v>
      </c>
      <c r="B5" s="21">
        <f>IF(ISERROR(VALUE(TRIM(CLEAN(MID(C24,FIND("/",C24)+1,FIND(")",C24,1)-FIND("/",C24)-1))))),0,VALUE(TRIM(CLEAN(MID(C24,FIND("/",C24)+1,FIND(")",C24,1)-FIND("/",C24)-1)))))</f>
        <v>4</v>
      </c>
      <c r="C5" s="16">
        <f>IF(ISERROR(VALUE(TRIM(CLEAN(MID(C24,FIND("(",C24)+1,FIND("/",C24,1)-FIND("(",C24)-1))))),0,VALUE(TRIM(CLEAN(MID(C24,FIND("(",C24)+1,FIND("/",C24,1)-FIND("(",C24)-1)))))</f>
        <v>4</v>
      </c>
    </row>
    <row r="6" spans="1:5" x14ac:dyDescent="0.2">
      <c r="A6" s="20"/>
      <c r="B6" s="21"/>
      <c r="C6" s="16"/>
    </row>
    <row r="7" spans="1:5" ht="13.5" thickBot="1" x14ac:dyDescent="0.25">
      <c r="A7" s="22" t="s">
        <v>13</v>
      </c>
      <c r="B7" s="23">
        <f>SUM(B2:B5)</f>
        <v>14</v>
      </c>
      <c r="C7" s="17">
        <f>SUM(C2:C5)</f>
        <v>14</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1176</v>
      </c>
    </row>
    <row r="20" spans="1:8" x14ac:dyDescent="0.2">
      <c r="C20" s="5" t="s">
        <v>1000</v>
      </c>
    </row>
    <row r="21" spans="1:8" x14ac:dyDescent="0.2">
      <c r="C21" s="5" t="s">
        <v>704</v>
      </c>
    </row>
    <row r="22" spans="1:8" x14ac:dyDescent="0.2">
      <c r="C22" s="5" t="s">
        <v>1001</v>
      </c>
    </row>
    <row r="23" spans="1:8" x14ac:dyDescent="0.2">
      <c r="C23" s="5" t="s">
        <v>743</v>
      </c>
    </row>
    <row r="24" spans="1:8" x14ac:dyDescent="0.2">
      <c r="C24" s="5" t="s">
        <v>744</v>
      </c>
    </row>
    <row r="25" spans="1:8" x14ac:dyDescent="0.2">
      <c r="B25" s="5" t="s">
        <v>1177</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1178</v>
      </c>
    </row>
    <row r="32" spans="1:8" x14ac:dyDescent="0.2">
      <c r="D32" s="5" t="s">
        <v>703</v>
      </c>
    </row>
    <row r="33" spans="4:4" x14ac:dyDescent="0.2">
      <c r="D33" s="5" t="s">
        <v>704</v>
      </c>
    </row>
    <row r="34" spans="4:4" x14ac:dyDescent="0.2">
      <c r="D34" s="5" t="s">
        <v>705</v>
      </c>
    </row>
    <row r="35" spans="4:4" x14ac:dyDescent="0.2">
      <c r="D35" s="5" t="s">
        <v>743</v>
      </c>
    </row>
    <row r="36" spans="4:4" x14ac:dyDescent="0.2">
      <c r="D36" s="5" t="s">
        <v>744</v>
      </c>
    </row>
  </sheetData>
  <autoFilter ref="A18:H18"/>
  <conditionalFormatting sqref="C17">
    <cfRule type="cellIs" dxfId="99" priority="1" stopIfTrue="1" operator="equal">
      <formula>$B$10</formula>
    </cfRule>
    <cfRule type="cellIs" dxfId="98"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indexed="11"/>
  </sheetPr>
  <dimension ref="A1:H48"/>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4</v>
      </c>
      <c r="C2" s="15">
        <f>IF(ISERROR(VALUE(TRIM(CLEAN(MID(C20,FIND("(",C20)+1,FIND("/",C20,1)-FIND("(",C20)-1))))),0,VALUE(TRIM(CLEAN(MID(C20,FIND("(",C20)+1,FIND("/",C20,1)-FIND("(",C20)-1)))))</f>
        <v>4</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30</v>
      </c>
      <c r="C4" s="16">
        <f>IF(ISERROR(VALUE(TRIM(CLEAN(MID(C23,FIND("(",C23)+1,FIND("/",C23,1)-FIND("(",C23)-1))))),0,VALUE(TRIM(CLEAN(MID(C23,FIND("(",C23)+1,FIND("/",C23,1)-FIND("(",C23)-1)))))</f>
        <v>30</v>
      </c>
      <c r="E4" s="29" t="s">
        <v>2</v>
      </c>
    </row>
    <row r="5" spans="1:5" ht="22.5" x14ac:dyDescent="0.2">
      <c r="A5" s="20" t="s">
        <v>17</v>
      </c>
      <c r="B5" s="21">
        <f>IF(ISERROR(VALUE(TRIM(CLEAN(MID(C24,FIND("/",C24)+1,FIND(")",C24,1)-FIND("/",C24)-1))))),0,VALUE(TRIM(CLEAN(MID(C24,FIND("/",C24)+1,FIND(")",C24,1)-FIND("/",C24)-1)))))</f>
        <v>15</v>
      </c>
      <c r="C5" s="16">
        <f>IF(ISERROR(VALUE(TRIM(CLEAN(MID(C24,FIND("(",C24)+1,FIND("/",C24,1)-FIND("(",C24)-1))))),0,VALUE(TRIM(CLEAN(MID(C24,FIND("(",C24)+1,FIND("/",C24,1)-FIND("(",C24)-1)))))</f>
        <v>15</v>
      </c>
    </row>
    <row r="6" spans="1:5" x14ac:dyDescent="0.2">
      <c r="A6" s="20"/>
      <c r="B6" s="21"/>
      <c r="C6" s="16"/>
    </row>
    <row r="7" spans="1:5" ht="13.5" thickBot="1" x14ac:dyDescent="0.25">
      <c r="A7" s="22" t="s">
        <v>13</v>
      </c>
      <c r="B7" s="23">
        <f>SUM(B2:B5)</f>
        <v>49</v>
      </c>
      <c r="C7" s="17">
        <f>SUM(C2:C5)</f>
        <v>49</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1180</v>
      </c>
    </row>
    <row r="20" spans="1:8" x14ac:dyDescent="0.2">
      <c r="C20" s="5" t="s">
        <v>877</v>
      </c>
    </row>
    <row r="21" spans="1:8" x14ac:dyDescent="0.2">
      <c r="C21" s="5" t="s">
        <v>704</v>
      </c>
    </row>
    <row r="22" spans="1:8" x14ac:dyDescent="0.2">
      <c r="C22" s="5" t="s">
        <v>878</v>
      </c>
    </row>
    <row r="23" spans="1:8" x14ac:dyDescent="0.2">
      <c r="C23" s="5" t="s">
        <v>1181</v>
      </c>
    </row>
    <row r="24" spans="1:8" x14ac:dyDescent="0.2">
      <c r="C24" s="5" t="s">
        <v>1182</v>
      </c>
    </row>
    <row r="25" spans="1:8" x14ac:dyDescent="0.2">
      <c r="B25" s="5" t="s">
        <v>1183</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1184</v>
      </c>
    </row>
    <row r="32" spans="1:8" x14ac:dyDescent="0.2">
      <c r="D32" s="5" t="s">
        <v>703</v>
      </c>
    </row>
    <row r="33" spans="2:4" x14ac:dyDescent="0.2">
      <c r="D33" s="5" t="s">
        <v>704</v>
      </c>
    </row>
    <row r="34" spans="2:4" x14ac:dyDescent="0.2">
      <c r="D34" s="5" t="s">
        <v>705</v>
      </c>
    </row>
    <row r="35" spans="2:4" x14ac:dyDescent="0.2">
      <c r="D35" s="5" t="s">
        <v>711</v>
      </c>
    </row>
    <row r="36" spans="2:4" x14ac:dyDescent="0.2">
      <c r="D36" s="5" t="s">
        <v>712</v>
      </c>
    </row>
    <row r="37" spans="2:4" x14ac:dyDescent="0.2">
      <c r="B37" s="5" t="s">
        <v>1185</v>
      </c>
    </row>
    <row r="38" spans="2:4" x14ac:dyDescent="0.2">
      <c r="D38" s="5" t="s">
        <v>703</v>
      </c>
    </row>
    <row r="39" spans="2:4" x14ac:dyDescent="0.2">
      <c r="D39" s="5" t="s">
        <v>704</v>
      </c>
    </row>
    <row r="40" spans="2:4" x14ac:dyDescent="0.2">
      <c r="D40" s="5" t="s">
        <v>705</v>
      </c>
    </row>
    <row r="41" spans="2:4" x14ac:dyDescent="0.2">
      <c r="D41" s="5" t="s">
        <v>1181</v>
      </c>
    </row>
    <row r="42" spans="2:4" x14ac:dyDescent="0.2">
      <c r="D42" s="5" t="s">
        <v>1182</v>
      </c>
    </row>
    <row r="43" spans="2:4" x14ac:dyDescent="0.2">
      <c r="B43" s="5" t="s">
        <v>1186</v>
      </c>
    </row>
    <row r="44" spans="2:4" x14ac:dyDescent="0.2">
      <c r="D44" s="5" t="s">
        <v>703</v>
      </c>
    </row>
    <row r="45" spans="2:4" x14ac:dyDescent="0.2">
      <c r="D45" s="5" t="s">
        <v>704</v>
      </c>
    </row>
    <row r="46" spans="2:4" x14ac:dyDescent="0.2">
      <c r="D46" s="5" t="s">
        <v>705</v>
      </c>
    </row>
    <row r="47" spans="2:4" x14ac:dyDescent="0.2">
      <c r="D47" s="5" t="s">
        <v>711</v>
      </c>
    </row>
    <row r="48" spans="2:4" x14ac:dyDescent="0.2">
      <c r="D48" s="5" t="s">
        <v>712</v>
      </c>
    </row>
  </sheetData>
  <autoFilter ref="A18:H18"/>
  <conditionalFormatting sqref="C17">
    <cfRule type="cellIs" dxfId="97" priority="1" stopIfTrue="1" operator="equal">
      <formula>$B$10</formula>
    </cfRule>
    <cfRule type="cellIs" dxfId="96"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tabColor indexed="11"/>
  </sheetPr>
  <dimension ref="A1:H108"/>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147</v>
      </c>
      <c r="C2" s="15">
        <f>IF(ISERROR(VALUE(TRIM(CLEAN(MID(C20,FIND("(",C20)+1,FIND("/",C20,1)-FIND("(",C20)-1))))),0,VALUE(TRIM(CLEAN(MID(C20,FIND("(",C20)+1,FIND("/",C20,1)-FIND("(",C20)-1)))))</f>
        <v>147</v>
      </c>
    </row>
    <row r="3" spans="1:5" ht="22.5" x14ac:dyDescent="0.2">
      <c r="A3" s="20" t="s">
        <v>15</v>
      </c>
      <c r="B3" s="21">
        <f>IF(ISERROR(VALUE(TRIM(CLEAN(MID(C21,FIND("/",C21)+1,FIND(")",C21,1)-FIND("/",C21)-1))))),0,VALUE(TRIM(CLEAN(MID(C21,FIND("/",C21)+1,FIND(")",C21,1)-FIND("/",C21)-1)))))</f>
        <v>2</v>
      </c>
      <c r="C3" s="16">
        <f>IF(ISERROR(VALUE(TRIM(CLEAN(MID(C21,FIND("(",C21)+1,FIND("/",C21,1)-FIND("(",C21)-1))))),0,VALUE(TRIM(CLEAN(MID(C21,FIND("(",C21)+1,FIND("/",C21,1)-FIND("(",C21)-1)))))</f>
        <v>2</v>
      </c>
      <c r="E3" s="29" t="s">
        <v>1</v>
      </c>
    </row>
    <row r="4" spans="1:5" ht="22.5" x14ac:dyDescent="0.2">
      <c r="A4" s="20" t="s">
        <v>16</v>
      </c>
      <c r="B4" s="21">
        <f>IF(ISERROR(VALUE(TRIM(CLEAN(MID(C23,FIND("/",C23)+1,FIND(")",C23,1)-FIND("/",C23)-1))))),0,VALUE(TRIM(CLEAN(MID(C23,FIND("/",C23)+1,FIND(")",C23,1)-FIND("/",C23)-1)))))</f>
        <v>199</v>
      </c>
      <c r="C4" s="16">
        <f>IF(ISERROR(VALUE(TRIM(CLEAN(MID(C23,FIND("(",C23)+1,FIND("/",C23,1)-FIND("(",C23)-1))))),0,VALUE(TRIM(CLEAN(MID(C23,FIND("(",C23)+1,FIND("/",C23,1)-FIND("(",C23)-1)))))</f>
        <v>199</v>
      </c>
      <c r="E4" s="29" t="s">
        <v>2</v>
      </c>
    </row>
    <row r="5" spans="1:5" ht="22.5" x14ac:dyDescent="0.2">
      <c r="A5" s="20" t="s">
        <v>17</v>
      </c>
      <c r="B5" s="21">
        <f>IF(ISERROR(VALUE(TRIM(CLEAN(MID(C24,FIND("/",C24)+1,FIND(")",C24,1)-FIND("/",C24)-1))))),0,VALUE(TRIM(CLEAN(MID(C24,FIND("/",C24)+1,FIND(")",C24,1)-FIND("/",C24)-1)))))</f>
        <v>32</v>
      </c>
      <c r="C5" s="16">
        <f>IF(ISERROR(VALUE(TRIM(CLEAN(MID(C24,FIND("(",C24)+1,FIND("/",C24,1)-FIND("(",C24)-1))))),0,VALUE(TRIM(CLEAN(MID(C24,FIND("(",C24)+1,FIND("/",C24,1)-FIND("(",C24)-1)))))</f>
        <v>32</v>
      </c>
    </row>
    <row r="6" spans="1:5" x14ac:dyDescent="0.2">
      <c r="A6" s="20"/>
      <c r="B6" s="21"/>
      <c r="C6" s="16"/>
    </row>
    <row r="7" spans="1:5" ht="13.5" thickBot="1" x14ac:dyDescent="0.25">
      <c r="A7" s="22" t="s">
        <v>13</v>
      </c>
      <c r="B7" s="23">
        <f>SUM(B2:B5)</f>
        <v>380</v>
      </c>
      <c r="C7" s="17">
        <f>SUM(C2:C5)</f>
        <v>380</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1188</v>
      </c>
    </row>
    <row r="20" spans="1:8" x14ac:dyDescent="0.2">
      <c r="C20" s="5" t="s">
        <v>1189</v>
      </c>
    </row>
    <row r="21" spans="1:8" x14ac:dyDescent="0.2">
      <c r="C21" s="5" t="s">
        <v>834</v>
      </c>
    </row>
    <row r="22" spans="1:8" x14ac:dyDescent="0.2">
      <c r="C22" s="5" t="s">
        <v>1190</v>
      </c>
    </row>
    <row r="23" spans="1:8" x14ac:dyDescent="0.2">
      <c r="C23" s="5" t="s">
        <v>1191</v>
      </c>
    </row>
    <row r="24" spans="1:8" x14ac:dyDescent="0.2">
      <c r="C24" s="5" t="s">
        <v>1192</v>
      </c>
    </row>
    <row r="25" spans="1:8" x14ac:dyDescent="0.2">
      <c r="B25" s="5" t="s">
        <v>1193</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1194</v>
      </c>
    </row>
    <row r="32" spans="1:8" x14ac:dyDescent="0.2">
      <c r="D32" s="5" t="s">
        <v>1000</v>
      </c>
    </row>
    <row r="33" spans="2:4" x14ac:dyDescent="0.2">
      <c r="D33" s="5" t="s">
        <v>859</v>
      </c>
    </row>
    <row r="34" spans="2:4" x14ac:dyDescent="0.2">
      <c r="D34" s="5" t="s">
        <v>883</v>
      </c>
    </row>
    <row r="35" spans="2:4" x14ac:dyDescent="0.2">
      <c r="D35" s="5" t="s">
        <v>1133</v>
      </c>
    </row>
    <row r="36" spans="2:4" x14ac:dyDescent="0.2">
      <c r="D36" s="5" t="s">
        <v>1134</v>
      </c>
    </row>
    <row r="37" spans="2:4" x14ac:dyDescent="0.2">
      <c r="B37" s="5" t="s">
        <v>1195</v>
      </c>
    </row>
    <row r="38" spans="2:4" x14ac:dyDescent="0.2">
      <c r="D38" s="5" t="s">
        <v>1196</v>
      </c>
    </row>
    <row r="39" spans="2:4" x14ac:dyDescent="0.2">
      <c r="D39" s="5" t="s">
        <v>859</v>
      </c>
    </row>
    <row r="40" spans="2:4" x14ac:dyDescent="0.2">
      <c r="D40" s="5" t="s">
        <v>1197</v>
      </c>
    </row>
    <row r="41" spans="2:4" x14ac:dyDescent="0.2">
      <c r="D41" s="5" t="s">
        <v>1006</v>
      </c>
    </row>
    <row r="42" spans="2:4" x14ac:dyDescent="0.2">
      <c r="D42" s="5" t="s">
        <v>712</v>
      </c>
    </row>
    <row r="43" spans="2:4" x14ac:dyDescent="0.2">
      <c r="B43" s="5" t="s">
        <v>1198</v>
      </c>
    </row>
    <row r="44" spans="2:4" x14ac:dyDescent="0.2">
      <c r="D44" s="5" t="s">
        <v>864</v>
      </c>
    </row>
    <row r="45" spans="2:4" x14ac:dyDescent="0.2">
      <c r="D45" s="5" t="s">
        <v>704</v>
      </c>
    </row>
    <row r="46" spans="2:4" x14ac:dyDescent="0.2">
      <c r="D46" s="5" t="s">
        <v>865</v>
      </c>
    </row>
    <row r="47" spans="2:4" x14ac:dyDescent="0.2">
      <c r="D47" s="5" t="s">
        <v>706</v>
      </c>
    </row>
    <row r="48" spans="2:4" x14ac:dyDescent="0.2">
      <c r="D48" s="5" t="s">
        <v>712</v>
      </c>
    </row>
    <row r="49" spans="2:4" x14ac:dyDescent="0.2">
      <c r="B49" s="5" t="s">
        <v>1199</v>
      </c>
    </row>
    <row r="50" spans="2:4" x14ac:dyDescent="0.2">
      <c r="D50" s="5" t="s">
        <v>864</v>
      </c>
    </row>
    <row r="51" spans="2:4" x14ac:dyDescent="0.2">
      <c r="D51" s="5" t="s">
        <v>704</v>
      </c>
    </row>
    <row r="52" spans="2:4" x14ac:dyDescent="0.2">
      <c r="D52" s="5" t="s">
        <v>865</v>
      </c>
    </row>
    <row r="53" spans="2:4" x14ac:dyDescent="0.2">
      <c r="D53" s="5" t="s">
        <v>706</v>
      </c>
    </row>
    <row r="54" spans="2:4" x14ac:dyDescent="0.2">
      <c r="D54" s="5" t="s">
        <v>712</v>
      </c>
    </row>
    <row r="55" spans="2:4" x14ac:dyDescent="0.2">
      <c r="B55" s="5" t="s">
        <v>1200</v>
      </c>
    </row>
    <row r="56" spans="2:4" x14ac:dyDescent="0.2">
      <c r="D56" s="5" t="s">
        <v>864</v>
      </c>
    </row>
    <row r="57" spans="2:4" x14ac:dyDescent="0.2">
      <c r="D57" s="5" t="s">
        <v>704</v>
      </c>
    </row>
    <row r="58" spans="2:4" x14ac:dyDescent="0.2">
      <c r="D58" s="5" t="s">
        <v>865</v>
      </c>
    </row>
    <row r="59" spans="2:4" x14ac:dyDescent="0.2">
      <c r="D59" s="5" t="s">
        <v>706</v>
      </c>
    </row>
    <row r="60" spans="2:4" x14ac:dyDescent="0.2">
      <c r="D60" s="5" t="s">
        <v>712</v>
      </c>
    </row>
    <row r="61" spans="2:4" x14ac:dyDescent="0.2">
      <c r="B61" s="5" t="s">
        <v>1201</v>
      </c>
    </row>
    <row r="62" spans="2:4" x14ac:dyDescent="0.2">
      <c r="D62" s="5" t="s">
        <v>864</v>
      </c>
    </row>
    <row r="63" spans="2:4" x14ac:dyDescent="0.2">
      <c r="D63" s="5" t="s">
        <v>704</v>
      </c>
    </row>
    <row r="64" spans="2:4" x14ac:dyDescent="0.2">
      <c r="D64" s="5" t="s">
        <v>865</v>
      </c>
    </row>
    <row r="65" spans="2:4" x14ac:dyDescent="0.2">
      <c r="D65" s="5" t="s">
        <v>706</v>
      </c>
    </row>
    <row r="66" spans="2:4" x14ac:dyDescent="0.2">
      <c r="D66" s="5" t="s">
        <v>712</v>
      </c>
    </row>
    <row r="67" spans="2:4" x14ac:dyDescent="0.2">
      <c r="B67" s="5" t="s">
        <v>1202</v>
      </c>
    </row>
    <row r="68" spans="2:4" x14ac:dyDescent="0.2">
      <c r="D68" s="5" t="s">
        <v>864</v>
      </c>
    </row>
    <row r="69" spans="2:4" x14ac:dyDescent="0.2">
      <c r="D69" s="5" t="s">
        <v>704</v>
      </c>
    </row>
    <row r="70" spans="2:4" x14ac:dyDescent="0.2">
      <c r="D70" s="5" t="s">
        <v>865</v>
      </c>
    </row>
    <row r="71" spans="2:4" x14ac:dyDescent="0.2">
      <c r="D71" s="5" t="s">
        <v>706</v>
      </c>
    </row>
    <row r="72" spans="2:4" x14ac:dyDescent="0.2">
      <c r="D72" s="5" t="s">
        <v>712</v>
      </c>
    </row>
    <row r="73" spans="2:4" x14ac:dyDescent="0.2">
      <c r="B73" s="5" t="s">
        <v>1203</v>
      </c>
    </row>
    <row r="74" spans="2:4" x14ac:dyDescent="0.2">
      <c r="D74" s="5" t="s">
        <v>864</v>
      </c>
    </row>
    <row r="75" spans="2:4" x14ac:dyDescent="0.2">
      <c r="D75" s="5" t="s">
        <v>704</v>
      </c>
    </row>
    <row r="76" spans="2:4" x14ac:dyDescent="0.2">
      <c r="D76" s="5" t="s">
        <v>865</v>
      </c>
    </row>
    <row r="77" spans="2:4" x14ac:dyDescent="0.2">
      <c r="D77" s="5" t="s">
        <v>706</v>
      </c>
    </row>
    <row r="78" spans="2:4" x14ac:dyDescent="0.2">
      <c r="D78" s="5" t="s">
        <v>712</v>
      </c>
    </row>
    <row r="79" spans="2:4" x14ac:dyDescent="0.2">
      <c r="B79" s="5" t="s">
        <v>1204</v>
      </c>
    </row>
    <row r="80" spans="2:4" x14ac:dyDescent="0.2">
      <c r="D80" s="5" t="s">
        <v>864</v>
      </c>
    </row>
    <row r="81" spans="2:4" x14ac:dyDescent="0.2">
      <c r="D81" s="5" t="s">
        <v>704</v>
      </c>
    </row>
    <row r="82" spans="2:4" x14ac:dyDescent="0.2">
      <c r="D82" s="5" t="s">
        <v>865</v>
      </c>
    </row>
    <row r="83" spans="2:4" x14ac:dyDescent="0.2">
      <c r="D83" s="5" t="s">
        <v>706</v>
      </c>
    </row>
    <row r="84" spans="2:4" x14ac:dyDescent="0.2">
      <c r="D84" s="5" t="s">
        <v>712</v>
      </c>
    </row>
    <row r="85" spans="2:4" x14ac:dyDescent="0.2">
      <c r="B85" s="5" t="s">
        <v>1205</v>
      </c>
    </row>
    <row r="86" spans="2:4" x14ac:dyDescent="0.2">
      <c r="D86" s="5" t="s">
        <v>703</v>
      </c>
    </row>
    <row r="87" spans="2:4" x14ac:dyDescent="0.2">
      <c r="D87" s="5" t="s">
        <v>704</v>
      </c>
    </row>
    <row r="88" spans="2:4" x14ac:dyDescent="0.2">
      <c r="D88" s="5" t="s">
        <v>705</v>
      </c>
    </row>
    <row r="89" spans="2:4" x14ac:dyDescent="0.2">
      <c r="D89" s="5" t="s">
        <v>711</v>
      </c>
    </row>
    <row r="90" spans="2:4" x14ac:dyDescent="0.2">
      <c r="D90" s="5" t="s">
        <v>712</v>
      </c>
    </row>
    <row r="91" spans="2:4" x14ac:dyDescent="0.2">
      <c r="B91" s="5" t="s">
        <v>1206</v>
      </c>
    </row>
    <row r="92" spans="2:4" x14ac:dyDescent="0.2">
      <c r="D92" s="5" t="s">
        <v>1207</v>
      </c>
    </row>
    <row r="93" spans="2:4" x14ac:dyDescent="0.2">
      <c r="D93" s="5" t="s">
        <v>704</v>
      </c>
    </row>
    <row r="94" spans="2:4" x14ac:dyDescent="0.2">
      <c r="D94" s="5" t="s">
        <v>1208</v>
      </c>
    </row>
    <row r="95" spans="2:4" x14ac:dyDescent="0.2">
      <c r="D95" s="5" t="s">
        <v>1209</v>
      </c>
    </row>
    <row r="96" spans="2:4" x14ac:dyDescent="0.2">
      <c r="D96" s="5" t="s">
        <v>712</v>
      </c>
    </row>
    <row r="97" spans="2:4" x14ac:dyDescent="0.2">
      <c r="B97" s="5" t="s">
        <v>1210</v>
      </c>
    </row>
    <row r="98" spans="2:4" x14ac:dyDescent="0.2">
      <c r="D98" s="5" t="s">
        <v>703</v>
      </c>
    </row>
    <row r="99" spans="2:4" x14ac:dyDescent="0.2">
      <c r="D99" s="5" t="s">
        <v>704</v>
      </c>
    </row>
    <row r="100" spans="2:4" x14ac:dyDescent="0.2">
      <c r="D100" s="5" t="s">
        <v>705</v>
      </c>
    </row>
    <row r="101" spans="2:4" x14ac:dyDescent="0.2">
      <c r="D101" s="5" t="s">
        <v>711</v>
      </c>
    </row>
    <row r="102" spans="2:4" x14ac:dyDescent="0.2">
      <c r="D102" s="5" t="s">
        <v>712</v>
      </c>
    </row>
    <row r="103" spans="2:4" x14ac:dyDescent="0.2">
      <c r="B103" s="5" t="s">
        <v>1211</v>
      </c>
    </row>
    <row r="104" spans="2:4" x14ac:dyDescent="0.2">
      <c r="D104" s="5" t="s">
        <v>1031</v>
      </c>
    </row>
    <row r="105" spans="2:4" x14ac:dyDescent="0.2">
      <c r="D105" s="5" t="s">
        <v>704</v>
      </c>
    </row>
    <row r="106" spans="2:4" x14ac:dyDescent="0.2">
      <c r="D106" s="5" t="s">
        <v>1032</v>
      </c>
    </row>
    <row r="107" spans="2:4" x14ac:dyDescent="0.2">
      <c r="D107" s="5" t="s">
        <v>747</v>
      </c>
    </row>
    <row r="108" spans="2:4" x14ac:dyDescent="0.2">
      <c r="D108" s="5" t="s">
        <v>795</v>
      </c>
    </row>
  </sheetData>
  <autoFilter ref="A18:H18"/>
  <conditionalFormatting sqref="C17">
    <cfRule type="cellIs" dxfId="95" priority="1" stopIfTrue="1" operator="equal">
      <formula>$B$10</formula>
    </cfRule>
    <cfRule type="cellIs" dxfId="94"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tabColor indexed="11"/>
  </sheetPr>
  <dimension ref="A1:H120"/>
  <sheetViews>
    <sheetView workbookViewId="0">
      <selection activeCell="F26" sqref="F26"/>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137</v>
      </c>
      <c r="C2" s="15">
        <f>IF(ISERROR(VALUE(TRIM(CLEAN(MID(C20,FIND("(",C20)+1,FIND("/",C20,1)-FIND("(",C20)-1))))),0,VALUE(TRIM(CLEAN(MID(C20,FIND("(",C20)+1,FIND("/",C20,1)-FIND("(",C20)-1)))))</f>
        <v>132</v>
      </c>
    </row>
    <row r="3" spans="1:5" ht="22.5" x14ac:dyDescent="0.2">
      <c r="A3" s="20" t="s">
        <v>15</v>
      </c>
      <c r="B3" s="21">
        <f>IF(ISERROR(VALUE(TRIM(CLEAN(MID(C21,FIND("/",C21)+1,FIND(")",C21,1)-FIND("/",C21)-1))))),0,VALUE(TRIM(CLEAN(MID(C21,FIND("/",C21)+1,FIND(")",C21,1)-FIND("/",C21)-1)))))</f>
        <v>17</v>
      </c>
      <c r="C3" s="16">
        <f>IF(ISERROR(VALUE(TRIM(CLEAN(MID(C21,FIND("(",C21)+1,FIND("/",C21,1)-FIND("(",C21)-1))))),0,VALUE(TRIM(CLEAN(MID(C21,FIND("(",C21)+1,FIND("/",C21,1)-FIND("(",C21)-1)))))</f>
        <v>17</v>
      </c>
      <c r="E3" s="29" t="s">
        <v>1</v>
      </c>
    </row>
    <row r="4" spans="1:5" ht="22.5" x14ac:dyDescent="0.2">
      <c r="A4" s="20" t="s">
        <v>16</v>
      </c>
      <c r="B4" s="21">
        <f>IF(ISERROR(VALUE(TRIM(CLEAN(MID(C23,FIND("/",C23)+1,FIND(")",C23,1)-FIND("/",C23)-1))))),0,VALUE(TRIM(CLEAN(MID(C23,FIND("/",C23)+1,FIND(")",C23,1)-FIND("/",C23)-1)))))</f>
        <v>252</v>
      </c>
      <c r="C4" s="16">
        <f>IF(ISERROR(VALUE(TRIM(CLEAN(MID(C23,FIND("(",C23)+1,FIND("/",C23,1)-FIND("(",C23)-1))))),0,VALUE(TRIM(CLEAN(MID(C23,FIND("(",C23)+1,FIND("/",C23,1)-FIND("(",C23)-1)))))</f>
        <v>240</v>
      </c>
      <c r="E4" s="29" t="s">
        <v>2</v>
      </c>
    </row>
    <row r="5" spans="1:5" ht="22.5" x14ac:dyDescent="0.2">
      <c r="A5" s="20" t="s">
        <v>17</v>
      </c>
      <c r="B5" s="21">
        <f>IF(ISERROR(VALUE(TRIM(CLEAN(MID(C24,FIND("/",C24)+1,FIND(")",C24,1)-FIND("/",C24)-1))))),0,VALUE(TRIM(CLEAN(MID(C24,FIND("/",C24)+1,FIND(")",C24,1)-FIND("/",C24)-1)))))</f>
        <v>69</v>
      </c>
      <c r="C5" s="16">
        <f>IF(ISERROR(VALUE(TRIM(CLEAN(MID(C24,FIND("(",C24)+1,FIND("/",C24,1)-FIND("(",C24)-1))))),0,VALUE(TRIM(CLEAN(MID(C24,FIND("(",C24)+1,FIND("/",C24,1)-FIND("(",C24)-1)))))</f>
        <v>62</v>
      </c>
    </row>
    <row r="6" spans="1:5" x14ac:dyDescent="0.2">
      <c r="A6" s="20"/>
      <c r="B6" s="21"/>
      <c r="C6" s="16"/>
    </row>
    <row r="7" spans="1:5" ht="13.5" thickBot="1" x14ac:dyDescent="0.25">
      <c r="A7" s="22" t="s">
        <v>13</v>
      </c>
      <c r="B7" s="23">
        <f>SUM(B2:B5)</f>
        <v>475</v>
      </c>
      <c r="C7" s="17">
        <f>SUM(C2:C5)</f>
        <v>451</v>
      </c>
    </row>
    <row r="8" spans="1:5" x14ac:dyDescent="0.2">
      <c r="A8" s="12"/>
      <c r="B8" s="7"/>
      <c r="C8" s="7"/>
    </row>
    <row r="9" spans="1:5" ht="13.5" thickBot="1" x14ac:dyDescent="0.25">
      <c r="A9" s="10"/>
      <c r="B9" s="7"/>
      <c r="C9" s="7"/>
    </row>
    <row r="10" spans="1:5" ht="24" thickTop="1" thickBot="1" x14ac:dyDescent="0.25">
      <c r="A10" s="24" t="s">
        <v>18</v>
      </c>
      <c r="B10" s="26">
        <f>B7-C7</f>
        <v>24</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9</v>
      </c>
    </row>
    <row r="14" spans="1:5" ht="23.25" thickBot="1" x14ac:dyDescent="0.25">
      <c r="A14" s="25" t="s">
        <v>24</v>
      </c>
      <c r="B14" s="28"/>
      <c r="C14" s="28">
        <f t="shared" si="0"/>
        <v>0</v>
      </c>
    </row>
    <row r="15" spans="1:5" ht="13.5" thickBot="1" x14ac:dyDescent="0.25">
      <c r="A15" s="25" t="s">
        <v>19</v>
      </c>
      <c r="B15" s="28"/>
      <c r="C15" s="28">
        <f t="shared" si="0"/>
        <v>15</v>
      </c>
    </row>
    <row r="16" spans="1:5" ht="23.25" thickBot="1" x14ac:dyDescent="0.25">
      <c r="A16" s="25" t="s">
        <v>20</v>
      </c>
      <c r="B16" s="28"/>
      <c r="C16" s="28">
        <f t="shared" si="0"/>
        <v>0</v>
      </c>
    </row>
    <row r="17" spans="1:8" x14ac:dyDescent="0.2">
      <c r="C17" s="5">
        <f>SUM(C11:C16)</f>
        <v>24</v>
      </c>
    </row>
    <row r="18" spans="1:8" customFormat="1" ht="23.25" x14ac:dyDescent="0.25">
      <c r="A18" s="4" t="s">
        <v>3</v>
      </c>
      <c r="B18" s="6" t="s">
        <v>4</v>
      </c>
      <c r="C18" s="8" t="s">
        <v>6</v>
      </c>
      <c r="D18" s="8" t="s">
        <v>7</v>
      </c>
      <c r="E18" s="8" t="s">
        <v>5</v>
      </c>
      <c r="F18" s="3" t="s">
        <v>10</v>
      </c>
      <c r="G18" s="1" t="s">
        <v>9</v>
      </c>
      <c r="H18" s="2" t="s">
        <v>8</v>
      </c>
    </row>
    <row r="19" spans="1:8" x14ac:dyDescent="0.2">
      <c r="A19" s="5" t="s">
        <v>1213</v>
      </c>
    </row>
    <row r="20" spans="1:8" x14ac:dyDescent="0.2">
      <c r="C20" s="5" t="s">
        <v>1214</v>
      </c>
    </row>
    <row r="21" spans="1:8" x14ac:dyDescent="0.2">
      <c r="C21" s="5" t="s">
        <v>1215</v>
      </c>
    </row>
    <row r="22" spans="1:8" x14ac:dyDescent="0.2">
      <c r="C22" s="5" t="s">
        <v>1216</v>
      </c>
    </row>
    <row r="23" spans="1:8" x14ac:dyDescent="0.2">
      <c r="C23" s="5" t="s">
        <v>1217</v>
      </c>
    </row>
    <row r="24" spans="1:8" x14ac:dyDescent="0.2">
      <c r="C24" s="5" t="s">
        <v>1218</v>
      </c>
    </row>
    <row r="25" spans="1:8" x14ac:dyDescent="0.2">
      <c r="B25" s="5" t="s">
        <v>1219</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1220</v>
      </c>
    </row>
    <row r="32" spans="1:8" x14ac:dyDescent="0.2">
      <c r="D32" s="5" t="s">
        <v>703</v>
      </c>
    </row>
    <row r="33" spans="2:4" x14ac:dyDescent="0.2">
      <c r="D33" s="5" t="s">
        <v>704</v>
      </c>
    </row>
    <row r="34" spans="2:4" x14ac:dyDescent="0.2">
      <c r="D34" s="5" t="s">
        <v>705</v>
      </c>
    </row>
    <row r="35" spans="2:4" x14ac:dyDescent="0.2">
      <c r="D35" s="5" t="s">
        <v>711</v>
      </c>
    </row>
    <row r="36" spans="2:4" x14ac:dyDescent="0.2">
      <c r="D36" s="5" t="s">
        <v>712</v>
      </c>
    </row>
    <row r="37" spans="2:4" x14ac:dyDescent="0.2">
      <c r="B37" s="5" t="s">
        <v>1221</v>
      </c>
    </row>
    <row r="38" spans="2:4" x14ac:dyDescent="0.2">
      <c r="D38" s="5" t="s">
        <v>703</v>
      </c>
    </row>
    <row r="39" spans="2:4" x14ac:dyDescent="0.2">
      <c r="D39" s="5" t="s">
        <v>704</v>
      </c>
    </row>
    <row r="40" spans="2:4" x14ac:dyDescent="0.2">
      <c r="D40" s="5" t="s">
        <v>705</v>
      </c>
    </row>
    <row r="41" spans="2:4" x14ac:dyDescent="0.2">
      <c r="D41" s="5" t="s">
        <v>1033</v>
      </c>
    </row>
    <row r="42" spans="2:4" x14ac:dyDescent="0.2">
      <c r="D42" s="5" t="s">
        <v>1040</v>
      </c>
    </row>
    <row r="43" spans="2:4" x14ac:dyDescent="0.2">
      <c r="B43" s="5" t="s">
        <v>1222</v>
      </c>
    </row>
    <row r="44" spans="2:4" x14ac:dyDescent="0.2">
      <c r="D44" s="5" t="s">
        <v>703</v>
      </c>
    </row>
    <row r="45" spans="2:4" x14ac:dyDescent="0.2">
      <c r="D45" s="5" t="s">
        <v>704</v>
      </c>
    </row>
    <row r="46" spans="2:4" x14ac:dyDescent="0.2">
      <c r="D46" s="5" t="s">
        <v>705</v>
      </c>
    </row>
    <row r="47" spans="2:4" x14ac:dyDescent="0.2">
      <c r="D47" s="5" t="s">
        <v>711</v>
      </c>
    </row>
    <row r="48" spans="2:4" x14ac:dyDescent="0.2">
      <c r="D48" s="5" t="s">
        <v>712</v>
      </c>
    </row>
    <row r="49" spans="2:8" x14ac:dyDescent="0.2">
      <c r="B49" s="5" t="s">
        <v>1223</v>
      </c>
    </row>
    <row r="50" spans="2:8" x14ac:dyDescent="0.2">
      <c r="D50" s="5" t="s">
        <v>703</v>
      </c>
    </row>
    <row r="51" spans="2:8" x14ac:dyDescent="0.2">
      <c r="D51" s="5" t="s">
        <v>704</v>
      </c>
    </row>
    <row r="52" spans="2:8" x14ac:dyDescent="0.2">
      <c r="D52" s="5" t="s">
        <v>705</v>
      </c>
    </row>
    <row r="53" spans="2:8" x14ac:dyDescent="0.2">
      <c r="D53" s="5" t="s">
        <v>711</v>
      </c>
    </row>
    <row r="54" spans="2:8" x14ac:dyDescent="0.2">
      <c r="D54" s="5" t="s">
        <v>712</v>
      </c>
    </row>
    <row r="55" spans="2:8" x14ac:dyDescent="0.2">
      <c r="B55" s="5" t="s">
        <v>1224</v>
      </c>
    </row>
    <row r="56" spans="2:8" x14ac:dyDescent="0.2">
      <c r="D56" s="5" t="s">
        <v>703</v>
      </c>
    </row>
    <row r="57" spans="2:8" x14ac:dyDescent="0.2">
      <c r="D57" s="5" t="s">
        <v>704</v>
      </c>
    </row>
    <row r="58" spans="2:8" x14ac:dyDescent="0.2">
      <c r="D58" s="5" t="s">
        <v>705</v>
      </c>
    </row>
    <row r="59" spans="2:8" x14ac:dyDescent="0.2">
      <c r="D59" s="5" t="s">
        <v>711</v>
      </c>
    </row>
    <row r="60" spans="2:8" x14ac:dyDescent="0.2">
      <c r="D60" s="5" t="s">
        <v>712</v>
      </c>
    </row>
    <row r="61" spans="2:8" x14ac:dyDescent="0.2">
      <c r="B61" s="5" t="s">
        <v>1225</v>
      </c>
    </row>
    <row r="62" spans="2:8" x14ac:dyDescent="0.2">
      <c r="D62" s="5" t="s">
        <v>971</v>
      </c>
    </row>
    <row r="63" spans="2:8" x14ac:dyDescent="0.2">
      <c r="E63" s="5" t="s">
        <v>1226</v>
      </c>
      <c r="F63" s="5">
        <v>475</v>
      </c>
      <c r="G63" s="5" t="s">
        <v>23</v>
      </c>
      <c r="H63" s="5" t="s">
        <v>1925</v>
      </c>
    </row>
    <row r="64" spans="2:8" x14ac:dyDescent="0.2">
      <c r="D64" s="5" t="s">
        <v>859</v>
      </c>
    </row>
    <row r="65" spans="2:8" x14ac:dyDescent="0.2">
      <c r="D65" s="5" t="s">
        <v>973</v>
      </c>
    </row>
    <row r="66" spans="2:8" x14ac:dyDescent="0.2">
      <c r="D66" s="5" t="s">
        <v>1227</v>
      </c>
    </row>
    <row r="67" spans="2:8" x14ac:dyDescent="0.2">
      <c r="E67" s="5" t="s">
        <v>1228</v>
      </c>
      <c r="F67" s="5">
        <v>475</v>
      </c>
      <c r="G67" s="5" t="s">
        <v>23</v>
      </c>
      <c r="H67" s="5" t="s">
        <v>1925</v>
      </c>
    </row>
    <row r="68" spans="2:8" x14ac:dyDescent="0.2">
      <c r="D68" s="5" t="s">
        <v>1229</v>
      </c>
    </row>
    <row r="69" spans="2:8" x14ac:dyDescent="0.2">
      <c r="B69" s="5" t="s">
        <v>1230</v>
      </c>
    </row>
    <row r="70" spans="2:8" x14ac:dyDescent="0.2">
      <c r="D70" s="5" t="s">
        <v>703</v>
      </c>
    </row>
    <row r="71" spans="2:8" x14ac:dyDescent="0.2">
      <c r="D71" s="5" t="s">
        <v>704</v>
      </c>
    </row>
    <row r="72" spans="2:8" x14ac:dyDescent="0.2">
      <c r="D72" s="5" t="s">
        <v>705</v>
      </c>
    </row>
    <row r="73" spans="2:8" x14ac:dyDescent="0.2">
      <c r="D73" s="5" t="s">
        <v>711</v>
      </c>
    </row>
    <row r="74" spans="2:8" x14ac:dyDescent="0.2">
      <c r="D74" s="5" t="s">
        <v>712</v>
      </c>
    </row>
    <row r="75" spans="2:8" x14ac:dyDescent="0.2">
      <c r="B75" s="5" t="s">
        <v>1231</v>
      </c>
    </row>
    <row r="76" spans="2:8" x14ac:dyDescent="0.2">
      <c r="D76" s="5" t="s">
        <v>703</v>
      </c>
    </row>
    <row r="77" spans="2:8" x14ac:dyDescent="0.2">
      <c r="D77" s="5" t="s">
        <v>704</v>
      </c>
    </row>
    <row r="78" spans="2:8" x14ac:dyDescent="0.2">
      <c r="D78" s="5" t="s">
        <v>705</v>
      </c>
    </row>
    <row r="79" spans="2:8" x14ac:dyDescent="0.2">
      <c r="D79" s="5" t="s">
        <v>711</v>
      </c>
    </row>
    <row r="80" spans="2:8" x14ac:dyDescent="0.2">
      <c r="D80" s="5" t="s">
        <v>712</v>
      </c>
    </row>
    <row r="81" spans="2:8" x14ac:dyDescent="0.2">
      <c r="B81" s="5" t="s">
        <v>1232</v>
      </c>
    </row>
    <row r="82" spans="2:8" x14ac:dyDescent="0.2">
      <c r="D82" s="5" t="s">
        <v>703</v>
      </c>
    </row>
    <row r="83" spans="2:8" x14ac:dyDescent="0.2">
      <c r="D83" s="5" t="s">
        <v>704</v>
      </c>
    </row>
    <row r="84" spans="2:8" x14ac:dyDescent="0.2">
      <c r="D84" s="5" t="s">
        <v>705</v>
      </c>
    </row>
    <row r="85" spans="2:8" x14ac:dyDescent="0.2">
      <c r="D85" s="5" t="s">
        <v>711</v>
      </c>
    </row>
    <row r="86" spans="2:8" x14ac:dyDescent="0.2">
      <c r="D86" s="5" t="s">
        <v>712</v>
      </c>
    </row>
    <row r="87" spans="2:8" x14ac:dyDescent="0.2">
      <c r="B87" s="5" t="s">
        <v>1233</v>
      </c>
    </row>
    <row r="88" spans="2:8" x14ac:dyDescent="0.2">
      <c r="D88" s="5" t="s">
        <v>1234</v>
      </c>
    </row>
    <row r="89" spans="2:8" x14ac:dyDescent="0.2">
      <c r="E89" s="5" t="s">
        <v>1235</v>
      </c>
      <c r="F89" s="5">
        <v>1105</v>
      </c>
      <c r="G89" s="5" t="s">
        <v>23</v>
      </c>
      <c r="H89" s="5" t="s">
        <v>1925</v>
      </c>
    </row>
    <row r="90" spans="2:8" x14ac:dyDescent="0.2">
      <c r="E90" s="5" t="s">
        <v>1236</v>
      </c>
      <c r="F90" s="5">
        <v>1424</v>
      </c>
      <c r="G90" s="5" t="s">
        <v>23</v>
      </c>
      <c r="H90" s="5" t="s">
        <v>1925</v>
      </c>
    </row>
    <row r="91" spans="2:8" x14ac:dyDescent="0.2">
      <c r="E91" s="5" t="s">
        <v>1237</v>
      </c>
      <c r="F91" s="5">
        <v>1605</v>
      </c>
      <c r="G91" s="5" t="s">
        <v>23</v>
      </c>
      <c r="H91" s="5" t="s">
        <v>1925</v>
      </c>
    </row>
    <row r="92" spans="2:8" x14ac:dyDescent="0.2">
      <c r="E92" s="5" t="s">
        <v>1238</v>
      </c>
      <c r="F92" s="5">
        <v>1788</v>
      </c>
      <c r="G92" s="5" t="s">
        <v>23</v>
      </c>
      <c r="H92" s="5" t="s">
        <v>1925</v>
      </c>
    </row>
    <row r="93" spans="2:8" x14ac:dyDescent="0.2">
      <c r="D93" s="5" t="s">
        <v>1239</v>
      </c>
    </row>
    <row r="94" spans="2:8" x14ac:dyDescent="0.2">
      <c r="D94" s="5" t="s">
        <v>1240</v>
      </c>
    </row>
    <row r="95" spans="2:8" x14ac:dyDescent="0.2">
      <c r="D95" s="5" t="s">
        <v>1241</v>
      </c>
    </row>
    <row r="96" spans="2:8" x14ac:dyDescent="0.2">
      <c r="E96" s="5" t="s">
        <v>1242</v>
      </c>
      <c r="F96" s="5">
        <v>969</v>
      </c>
      <c r="G96" s="5" t="s">
        <v>19</v>
      </c>
      <c r="H96" s="5" t="s">
        <v>1926</v>
      </c>
    </row>
    <row r="97" spans="4:8" x14ac:dyDescent="0.2">
      <c r="E97" s="5" t="s">
        <v>1243</v>
      </c>
      <c r="F97" s="5">
        <v>982</v>
      </c>
      <c r="G97" s="5" t="s">
        <v>19</v>
      </c>
      <c r="H97" s="5" t="s">
        <v>1926</v>
      </c>
    </row>
    <row r="98" spans="4:8" x14ac:dyDescent="0.2">
      <c r="E98" s="5" t="s">
        <v>1244</v>
      </c>
      <c r="F98" s="5">
        <v>1015</v>
      </c>
      <c r="G98" s="5" t="s">
        <v>19</v>
      </c>
      <c r="H98" s="5" t="s">
        <v>1926</v>
      </c>
    </row>
    <row r="99" spans="4:8" x14ac:dyDescent="0.2">
      <c r="E99" s="5" t="s">
        <v>1244</v>
      </c>
      <c r="F99" s="5">
        <v>1015</v>
      </c>
      <c r="G99" s="5" t="s">
        <v>19</v>
      </c>
      <c r="H99" s="5" t="s">
        <v>1926</v>
      </c>
    </row>
    <row r="100" spans="4:8" x14ac:dyDescent="0.2">
      <c r="E100" s="5" t="s">
        <v>1245</v>
      </c>
      <c r="F100" s="5">
        <v>1042</v>
      </c>
      <c r="G100" s="5" t="s">
        <v>19</v>
      </c>
      <c r="H100" s="5" t="s">
        <v>1926</v>
      </c>
    </row>
    <row r="101" spans="4:8" x14ac:dyDescent="0.2">
      <c r="E101" s="5" t="s">
        <v>1246</v>
      </c>
      <c r="F101" s="5">
        <v>1105</v>
      </c>
      <c r="G101" s="5" t="s">
        <v>19</v>
      </c>
      <c r="H101" s="5" t="s">
        <v>1926</v>
      </c>
    </row>
    <row r="102" spans="4:8" x14ac:dyDescent="0.2">
      <c r="E102" s="5" t="s">
        <v>1247</v>
      </c>
      <c r="F102" s="5">
        <v>1163</v>
      </c>
      <c r="G102" s="5" t="s">
        <v>19</v>
      </c>
      <c r="H102" s="5" t="s">
        <v>1926</v>
      </c>
    </row>
    <row r="103" spans="4:8" x14ac:dyDescent="0.2">
      <c r="E103" s="5" t="s">
        <v>1248</v>
      </c>
      <c r="F103" s="5">
        <v>1266</v>
      </c>
      <c r="G103" s="5" t="s">
        <v>19</v>
      </c>
      <c r="H103" s="5" t="s">
        <v>1926</v>
      </c>
    </row>
    <row r="104" spans="4:8" x14ac:dyDescent="0.2">
      <c r="E104" s="5" t="s">
        <v>1249</v>
      </c>
      <c r="F104" s="5">
        <v>1424</v>
      </c>
      <c r="G104" s="5" t="s">
        <v>23</v>
      </c>
      <c r="H104" s="5" t="s">
        <v>1925</v>
      </c>
    </row>
    <row r="105" spans="4:8" x14ac:dyDescent="0.2">
      <c r="E105" s="5" t="s">
        <v>1250</v>
      </c>
      <c r="F105" s="5">
        <v>1605</v>
      </c>
      <c r="G105" s="5" t="s">
        <v>23</v>
      </c>
      <c r="H105" s="5" t="s">
        <v>1925</v>
      </c>
    </row>
    <row r="106" spans="4:8" x14ac:dyDescent="0.2">
      <c r="E106" s="5" t="s">
        <v>1251</v>
      </c>
      <c r="F106" s="5">
        <v>1788</v>
      </c>
      <c r="G106" s="5" t="s">
        <v>23</v>
      </c>
      <c r="H106" s="5" t="s">
        <v>1925</v>
      </c>
    </row>
    <row r="107" spans="4:8" x14ac:dyDescent="0.2">
      <c r="D107" s="5" t="s">
        <v>1252</v>
      </c>
    </row>
    <row r="108" spans="4:8" x14ac:dyDescent="0.2">
      <c r="E108" s="5" t="s">
        <v>1253</v>
      </c>
      <c r="F108" s="5">
        <v>969</v>
      </c>
      <c r="G108" s="5" t="s">
        <v>19</v>
      </c>
      <c r="H108" s="5" t="s">
        <v>1926</v>
      </c>
    </row>
    <row r="109" spans="4:8" x14ac:dyDescent="0.2">
      <c r="E109" s="5" t="s">
        <v>1254</v>
      </c>
      <c r="F109" s="5">
        <v>982</v>
      </c>
      <c r="G109" s="5" t="s">
        <v>19</v>
      </c>
      <c r="H109" s="5" t="s">
        <v>1926</v>
      </c>
    </row>
    <row r="110" spans="4:8" x14ac:dyDescent="0.2">
      <c r="E110" s="5" t="s">
        <v>1255</v>
      </c>
      <c r="F110" s="5">
        <v>1015</v>
      </c>
      <c r="G110" s="5" t="s">
        <v>19</v>
      </c>
      <c r="H110" s="5" t="s">
        <v>1926</v>
      </c>
    </row>
    <row r="111" spans="4:8" x14ac:dyDescent="0.2">
      <c r="E111" s="5" t="s">
        <v>1256</v>
      </c>
      <c r="F111" s="5">
        <v>1015</v>
      </c>
      <c r="G111" s="5" t="s">
        <v>19</v>
      </c>
      <c r="H111" s="5" t="s">
        <v>1926</v>
      </c>
    </row>
    <row r="112" spans="4:8" x14ac:dyDescent="0.2">
      <c r="E112" s="5" t="s">
        <v>1257</v>
      </c>
      <c r="F112" s="5">
        <v>1042</v>
      </c>
      <c r="G112" s="5" t="s">
        <v>19</v>
      </c>
      <c r="H112" s="5" t="s">
        <v>1926</v>
      </c>
    </row>
    <row r="113" spans="2:8" x14ac:dyDescent="0.2">
      <c r="E113" s="5" t="s">
        <v>1258</v>
      </c>
      <c r="F113" s="5">
        <v>1163</v>
      </c>
      <c r="G113" s="5" t="s">
        <v>19</v>
      </c>
      <c r="H113" s="5" t="s">
        <v>1926</v>
      </c>
    </row>
    <row r="114" spans="2:8" x14ac:dyDescent="0.2">
      <c r="E114" s="5" t="s">
        <v>1259</v>
      </c>
      <c r="F114" s="5">
        <v>1266</v>
      </c>
      <c r="G114" s="5" t="s">
        <v>19</v>
      </c>
      <c r="H114" s="5" t="s">
        <v>1926</v>
      </c>
    </row>
    <row r="115" spans="2:8" x14ac:dyDescent="0.2">
      <c r="B115" s="5" t="s">
        <v>1260</v>
      </c>
    </row>
    <row r="116" spans="2:8" x14ac:dyDescent="0.2">
      <c r="D116" s="5" t="s">
        <v>703</v>
      </c>
    </row>
    <row r="117" spans="2:8" x14ac:dyDescent="0.2">
      <c r="D117" s="5" t="s">
        <v>704</v>
      </c>
    </row>
    <row r="118" spans="2:8" x14ac:dyDescent="0.2">
      <c r="D118" s="5" t="s">
        <v>705</v>
      </c>
    </row>
    <row r="119" spans="2:8" x14ac:dyDescent="0.2">
      <c r="D119" s="5" t="s">
        <v>711</v>
      </c>
    </row>
    <row r="120" spans="2:8" x14ac:dyDescent="0.2">
      <c r="D120" s="5" t="s">
        <v>712</v>
      </c>
    </row>
  </sheetData>
  <autoFilter ref="A18:H18"/>
  <conditionalFormatting sqref="C17">
    <cfRule type="cellIs" dxfId="93" priority="1" stopIfTrue="1" operator="equal">
      <formula>$B$10</formula>
    </cfRule>
    <cfRule type="cellIs" dxfId="92"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indexed="11"/>
  </sheetPr>
  <dimension ref="A1:H48"/>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8</v>
      </c>
      <c r="C2" s="15">
        <f>IF(ISERROR(VALUE(TRIM(CLEAN(MID(C20,FIND("(",C20)+1,FIND("/",C20,1)-FIND("(",C20)-1))))),0,VALUE(TRIM(CLEAN(MID(C20,FIND("(",C20)+1,FIND("/",C20,1)-FIND("(",C20)-1)))))</f>
        <v>8</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8</v>
      </c>
      <c r="C4" s="16">
        <f>IF(ISERROR(VALUE(TRIM(CLEAN(MID(C23,FIND("(",C23)+1,FIND("/",C23,1)-FIND("(",C23)-1))))),0,VALUE(TRIM(CLEAN(MID(C23,FIND("(",C23)+1,FIND("/",C23,1)-FIND("(",C23)-1)))))</f>
        <v>8</v>
      </c>
      <c r="E4" s="29" t="s">
        <v>2</v>
      </c>
    </row>
    <row r="5" spans="1:5" ht="22.5" x14ac:dyDescent="0.2">
      <c r="A5" s="20" t="s">
        <v>17</v>
      </c>
      <c r="B5" s="21">
        <f>IF(ISERROR(VALUE(TRIM(CLEAN(MID(C24,FIND("/",C24)+1,FIND(")",C24,1)-FIND("/",C24)-1))))),0,VALUE(TRIM(CLEAN(MID(C24,FIND("/",C24)+1,FIND(")",C24,1)-FIND("/",C24)-1)))))</f>
        <v>2</v>
      </c>
      <c r="C5" s="16">
        <f>IF(ISERROR(VALUE(TRIM(CLEAN(MID(C24,FIND("(",C24)+1,FIND("/",C24,1)-FIND("(",C24)-1))))),0,VALUE(TRIM(CLEAN(MID(C24,FIND("(",C24)+1,FIND("/",C24,1)-FIND("(",C24)-1)))))</f>
        <v>2</v>
      </c>
    </row>
    <row r="6" spans="1:5" x14ac:dyDescent="0.2">
      <c r="A6" s="20"/>
      <c r="B6" s="21"/>
      <c r="C6" s="16"/>
    </row>
    <row r="7" spans="1:5" ht="13.5" thickBot="1" x14ac:dyDescent="0.25">
      <c r="A7" s="22" t="s">
        <v>13</v>
      </c>
      <c r="B7" s="23">
        <f>SUM(B2:B5)</f>
        <v>18</v>
      </c>
      <c r="C7" s="17">
        <f>SUM(C2:C5)</f>
        <v>18</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1262</v>
      </c>
    </row>
    <row r="20" spans="1:8" x14ac:dyDescent="0.2">
      <c r="C20" s="5" t="s">
        <v>1263</v>
      </c>
    </row>
    <row r="21" spans="1:8" x14ac:dyDescent="0.2">
      <c r="C21" s="5" t="s">
        <v>704</v>
      </c>
    </row>
    <row r="22" spans="1:8" x14ac:dyDescent="0.2">
      <c r="C22" s="5" t="s">
        <v>1264</v>
      </c>
    </row>
    <row r="23" spans="1:8" x14ac:dyDescent="0.2">
      <c r="C23" s="5" t="s">
        <v>743</v>
      </c>
    </row>
    <row r="24" spans="1:8" x14ac:dyDescent="0.2">
      <c r="C24" s="5" t="s">
        <v>707</v>
      </c>
    </row>
    <row r="25" spans="1:8" x14ac:dyDescent="0.2">
      <c r="B25" s="5" t="s">
        <v>1265</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1266</v>
      </c>
    </row>
    <row r="32" spans="1:8" x14ac:dyDescent="0.2">
      <c r="D32" s="5" t="s">
        <v>703</v>
      </c>
    </row>
    <row r="33" spans="2:4" x14ac:dyDescent="0.2">
      <c r="D33" s="5" t="s">
        <v>704</v>
      </c>
    </row>
    <row r="34" spans="2:4" x14ac:dyDescent="0.2">
      <c r="D34" s="5" t="s">
        <v>705</v>
      </c>
    </row>
    <row r="35" spans="2:4" x14ac:dyDescent="0.2">
      <c r="D35" s="5" t="s">
        <v>711</v>
      </c>
    </row>
    <row r="36" spans="2:4" x14ac:dyDescent="0.2">
      <c r="D36" s="5" t="s">
        <v>712</v>
      </c>
    </row>
    <row r="37" spans="2:4" x14ac:dyDescent="0.2">
      <c r="B37" s="5" t="s">
        <v>1267</v>
      </c>
    </row>
    <row r="38" spans="2:4" x14ac:dyDescent="0.2">
      <c r="D38" s="5" t="s">
        <v>864</v>
      </c>
    </row>
    <row r="39" spans="2:4" x14ac:dyDescent="0.2">
      <c r="D39" s="5" t="s">
        <v>704</v>
      </c>
    </row>
    <row r="40" spans="2:4" x14ac:dyDescent="0.2">
      <c r="D40" s="5" t="s">
        <v>865</v>
      </c>
    </row>
    <row r="41" spans="2:4" x14ac:dyDescent="0.2">
      <c r="D41" s="5" t="s">
        <v>743</v>
      </c>
    </row>
    <row r="42" spans="2:4" x14ac:dyDescent="0.2">
      <c r="D42" s="5" t="s">
        <v>707</v>
      </c>
    </row>
    <row r="43" spans="2:4" x14ac:dyDescent="0.2">
      <c r="B43" s="5" t="s">
        <v>1268</v>
      </c>
    </row>
    <row r="44" spans="2:4" x14ac:dyDescent="0.2">
      <c r="D44" s="5" t="s">
        <v>703</v>
      </c>
    </row>
    <row r="45" spans="2:4" x14ac:dyDescent="0.2">
      <c r="D45" s="5" t="s">
        <v>704</v>
      </c>
    </row>
    <row r="46" spans="2:4" x14ac:dyDescent="0.2">
      <c r="D46" s="5" t="s">
        <v>705</v>
      </c>
    </row>
    <row r="47" spans="2:4" x14ac:dyDescent="0.2">
      <c r="D47" s="5" t="s">
        <v>711</v>
      </c>
    </row>
    <row r="48" spans="2:4" x14ac:dyDescent="0.2">
      <c r="D48" s="5" t="s">
        <v>712</v>
      </c>
    </row>
  </sheetData>
  <autoFilter ref="A18:H18"/>
  <conditionalFormatting sqref="C17">
    <cfRule type="cellIs" dxfId="91" priority="1" stopIfTrue="1" operator="equal">
      <formula>$B$10</formula>
    </cfRule>
    <cfRule type="cellIs" dxfId="90"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4</v>
      </c>
      <c r="C2" s="15">
        <f>IF(ISERROR(VALUE(TRIM(CLEAN(MID(C20,FIND("(",C20)+1,FIND("/",C20,1)-FIND("(",C20)-1))))),0,VALUE(TRIM(CLEAN(MID(C20,FIND("(",C20)+1,FIND("/",C20,1)-FIND("(",C20)-1)))))</f>
        <v>4</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18</v>
      </c>
      <c r="C4" s="16">
        <f>IF(ISERROR(VALUE(TRIM(CLEAN(MID(C23,FIND("(",C23)+1,FIND("/",C23,1)-FIND("(",C23)-1))))),0,VALUE(TRIM(CLEAN(MID(C23,FIND("(",C23)+1,FIND("/",C23,1)-FIND("(",C23)-1)))))</f>
        <v>18</v>
      </c>
      <c r="E4" s="29" t="s">
        <v>2</v>
      </c>
    </row>
    <row r="5" spans="1:5" ht="22.5" x14ac:dyDescent="0.2">
      <c r="A5" s="20" t="s">
        <v>17</v>
      </c>
      <c r="B5" s="21">
        <f>IF(ISERROR(VALUE(TRIM(CLEAN(MID(C24,FIND("/",C24)+1,FIND(")",C24,1)-FIND("/",C24)-1))))),0,VALUE(TRIM(CLEAN(MID(C24,FIND("/",C24)+1,FIND(")",C24,1)-FIND("/",C24)-1)))))</f>
        <v>8</v>
      </c>
      <c r="C5" s="16">
        <f>IF(ISERROR(VALUE(TRIM(CLEAN(MID(C24,FIND("(",C24)+1,FIND("/",C24,1)-FIND("(",C24)-1))))),0,VALUE(TRIM(CLEAN(MID(C24,FIND("(",C24)+1,FIND("/",C24,1)-FIND("(",C24)-1)))))</f>
        <v>8</v>
      </c>
    </row>
    <row r="6" spans="1:5" x14ac:dyDescent="0.2">
      <c r="A6" s="20"/>
      <c r="B6" s="21"/>
      <c r="C6" s="16"/>
    </row>
    <row r="7" spans="1:5" ht="13.5" thickBot="1" x14ac:dyDescent="0.25">
      <c r="A7" s="22" t="s">
        <v>13</v>
      </c>
      <c r="B7" s="23">
        <f>SUM(B2:B5)</f>
        <v>30</v>
      </c>
      <c r="C7" s="17">
        <f>SUM(C2:C5)</f>
        <v>30</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1270</v>
      </c>
    </row>
    <row r="20" spans="1:8" x14ac:dyDescent="0.2">
      <c r="C20" s="5" t="s">
        <v>877</v>
      </c>
    </row>
    <row r="21" spans="1:8" x14ac:dyDescent="0.2">
      <c r="C21" s="5" t="s">
        <v>704</v>
      </c>
    </row>
    <row r="22" spans="1:8" x14ac:dyDescent="0.2">
      <c r="C22" s="5" t="s">
        <v>878</v>
      </c>
    </row>
    <row r="23" spans="1:8" x14ac:dyDescent="0.2">
      <c r="C23" s="5" t="s">
        <v>781</v>
      </c>
    </row>
    <row r="24" spans="1:8" x14ac:dyDescent="0.2">
      <c r="C24" s="5" t="s">
        <v>1007</v>
      </c>
    </row>
    <row r="25" spans="1:8" x14ac:dyDescent="0.2">
      <c r="B25" s="5" t="s">
        <v>1271</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1272</v>
      </c>
    </row>
    <row r="32" spans="1:8" x14ac:dyDescent="0.2">
      <c r="D32" s="5" t="s">
        <v>882</v>
      </c>
    </row>
    <row r="33" spans="4:4" x14ac:dyDescent="0.2">
      <c r="D33" s="5" t="s">
        <v>704</v>
      </c>
    </row>
    <row r="34" spans="4:4" x14ac:dyDescent="0.2">
      <c r="D34" s="5" t="s">
        <v>883</v>
      </c>
    </row>
    <row r="35" spans="4:4" x14ac:dyDescent="0.2">
      <c r="D35" s="5" t="s">
        <v>781</v>
      </c>
    </row>
    <row r="36" spans="4:4" x14ac:dyDescent="0.2">
      <c r="D36" s="5" t="s">
        <v>1007</v>
      </c>
    </row>
  </sheetData>
  <autoFilter ref="A18:H18"/>
  <conditionalFormatting sqref="C17">
    <cfRule type="cellIs" dxfId="89" priority="1" stopIfTrue="1" operator="equal">
      <formula>$B$10</formula>
    </cfRule>
    <cfRule type="cellIs" dxfId="88"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tabColor indexed="11"/>
  </sheetPr>
  <dimension ref="A1:H62"/>
  <sheetViews>
    <sheetView topLeftCell="A7" workbookViewId="0">
      <selection activeCell="F45" sqref="F45:H55"/>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44</v>
      </c>
      <c r="C2" s="15">
        <f>IF(ISERROR(VALUE(TRIM(CLEAN(MID(C20,FIND("(",C20)+1,FIND("/",C20,1)-FIND("(",C20)-1))))),0,VALUE(TRIM(CLEAN(MID(C20,FIND("(",C20)+1,FIND("/",C20,1)-FIND("(",C20)-1)))))</f>
        <v>40</v>
      </c>
    </row>
    <row r="3" spans="1:5" ht="22.5" x14ac:dyDescent="0.2">
      <c r="A3" s="20" t="s">
        <v>15</v>
      </c>
      <c r="B3" s="21">
        <f>IF(ISERROR(VALUE(TRIM(CLEAN(MID(C21,FIND("/",C21)+1,FIND(")",C21,1)-FIND("/",C21)-1))))),0,VALUE(TRIM(CLEAN(MID(C21,FIND("/",C21)+1,FIND(")",C21,1)-FIND("/",C21)-1)))))</f>
        <v>9</v>
      </c>
      <c r="C3" s="16">
        <f>IF(ISERROR(VALUE(TRIM(CLEAN(MID(C21,FIND("(",C21)+1,FIND("/",C21,1)-FIND("(",C21)-1))))),0,VALUE(TRIM(CLEAN(MID(C21,FIND("(",C21)+1,FIND("/",C21,1)-FIND("(",C21)-1)))))</f>
        <v>9</v>
      </c>
      <c r="E3" s="29" t="s">
        <v>1</v>
      </c>
    </row>
    <row r="4" spans="1:5" ht="22.5" x14ac:dyDescent="0.2">
      <c r="A4" s="20" t="s">
        <v>16</v>
      </c>
      <c r="B4" s="21">
        <f>IF(ISERROR(VALUE(TRIM(CLEAN(MID(C23,FIND("/",C23)+1,FIND(")",C23,1)-FIND("/",C23)-1))))),0,VALUE(TRIM(CLEAN(MID(C23,FIND("/",C23)+1,FIND(")",C23,1)-FIND("/",C23)-1)))))</f>
        <v>152</v>
      </c>
      <c r="C4" s="16">
        <f>IF(ISERROR(VALUE(TRIM(CLEAN(MID(C23,FIND("(",C23)+1,FIND("/",C23,1)-FIND("(",C23)-1))))),0,VALUE(TRIM(CLEAN(MID(C23,FIND("(",C23)+1,FIND("/",C23,1)-FIND("(",C23)-1)))))</f>
        <v>148</v>
      </c>
      <c r="E4" s="29" t="s">
        <v>2</v>
      </c>
    </row>
    <row r="5" spans="1:5" ht="22.5" x14ac:dyDescent="0.2">
      <c r="A5" s="20" t="s">
        <v>17</v>
      </c>
      <c r="B5" s="21">
        <f>IF(ISERROR(VALUE(TRIM(CLEAN(MID(C24,FIND("/",C24)+1,FIND(")",C24,1)-FIND("/",C24)-1))))),0,VALUE(TRIM(CLEAN(MID(C24,FIND("/",C24)+1,FIND(")",C24,1)-FIND("/",C24)-1)))))</f>
        <v>54</v>
      </c>
      <c r="C5" s="16">
        <f>IF(ISERROR(VALUE(TRIM(CLEAN(MID(C24,FIND("(",C24)+1,FIND("/",C24,1)-FIND("(",C24)-1))))),0,VALUE(TRIM(CLEAN(MID(C24,FIND("(",C24)+1,FIND("/",C24,1)-FIND("(",C24)-1)))))</f>
        <v>54</v>
      </c>
    </row>
    <row r="6" spans="1:5" x14ac:dyDescent="0.2">
      <c r="A6" s="20"/>
      <c r="B6" s="21"/>
      <c r="C6" s="16"/>
    </row>
    <row r="7" spans="1:5" ht="13.5" thickBot="1" x14ac:dyDescent="0.25">
      <c r="A7" s="22" t="s">
        <v>13</v>
      </c>
      <c r="B7" s="23">
        <f>SUM(B2:B5)</f>
        <v>259</v>
      </c>
      <c r="C7" s="17">
        <f>SUM(C2:C5)</f>
        <v>251</v>
      </c>
    </row>
    <row r="8" spans="1:5" x14ac:dyDescent="0.2">
      <c r="A8" s="12"/>
      <c r="B8" s="7"/>
      <c r="C8" s="7"/>
    </row>
    <row r="9" spans="1:5" ht="13.5" thickBot="1" x14ac:dyDescent="0.25">
      <c r="A9" s="10"/>
      <c r="B9" s="7"/>
      <c r="C9" s="7"/>
    </row>
    <row r="10" spans="1:5" ht="24" thickTop="1" thickBot="1" x14ac:dyDescent="0.25">
      <c r="A10" s="24" t="s">
        <v>18</v>
      </c>
      <c r="B10" s="26">
        <f>B7-C7</f>
        <v>8</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8</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8</v>
      </c>
    </row>
    <row r="18" spans="1:8" customFormat="1" ht="23.25" x14ac:dyDescent="0.25">
      <c r="A18" s="4" t="s">
        <v>3</v>
      </c>
      <c r="B18" s="6" t="s">
        <v>4</v>
      </c>
      <c r="C18" s="8" t="s">
        <v>6</v>
      </c>
      <c r="D18" s="8" t="s">
        <v>7</v>
      </c>
      <c r="E18" s="8" t="s">
        <v>5</v>
      </c>
      <c r="F18" s="3" t="s">
        <v>10</v>
      </c>
      <c r="G18" s="1" t="s">
        <v>9</v>
      </c>
      <c r="H18" s="2" t="s">
        <v>8</v>
      </c>
    </row>
    <row r="19" spans="1:8" x14ac:dyDescent="0.2">
      <c r="A19" s="5" t="s">
        <v>1274</v>
      </c>
    </row>
    <row r="20" spans="1:8" x14ac:dyDescent="0.2">
      <c r="C20" s="5" t="s">
        <v>1275</v>
      </c>
    </row>
    <row r="21" spans="1:8" x14ac:dyDescent="0.2">
      <c r="C21" s="5" t="s">
        <v>1276</v>
      </c>
    </row>
    <row r="22" spans="1:8" x14ac:dyDescent="0.2">
      <c r="C22" s="5" t="s">
        <v>1277</v>
      </c>
    </row>
    <row r="23" spans="1:8" x14ac:dyDescent="0.2">
      <c r="C23" s="5" t="s">
        <v>1278</v>
      </c>
    </row>
    <row r="24" spans="1:8" x14ac:dyDescent="0.2">
      <c r="C24" s="5" t="s">
        <v>1279</v>
      </c>
    </row>
    <row r="25" spans="1:8" x14ac:dyDescent="0.2">
      <c r="B25" s="5" t="s">
        <v>1280</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1281</v>
      </c>
    </row>
    <row r="32" spans="1:8" x14ac:dyDescent="0.2">
      <c r="D32" s="5" t="s">
        <v>703</v>
      </c>
    </row>
    <row r="33" spans="2:8" x14ac:dyDescent="0.2">
      <c r="D33" s="5" t="s">
        <v>704</v>
      </c>
    </row>
    <row r="34" spans="2:8" x14ac:dyDescent="0.2">
      <c r="D34" s="5" t="s">
        <v>705</v>
      </c>
    </row>
    <row r="35" spans="2:8" x14ac:dyDescent="0.2">
      <c r="D35" s="5" t="s">
        <v>711</v>
      </c>
    </row>
    <row r="36" spans="2:8" x14ac:dyDescent="0.2">
      <c r="D36" s="5" t="s">
        <v>712</v>
      </c>
    </row>
    <row r="37" spans="2:8" x14ac:dyDescent="0.2">
      <c r="B37" s="5" t="s">
        <v>1282</v>
      </c>
    </row>
    <row r="38" spans="2:8" x14ac:dyDescent="0.2">
      <c r="D38" s="5" t="s">
        <v>703</v>
      </c>
    </row>
    <row r="39" spans="2:8" x14ac:dyDescent="0.2">
      <c r="D39" s="5" t="s">
        <v>704</v>
      </c>
    </row>
    <row r="40" spans="2:8" x14ac:dyDescent="0.2">
      <c r="D40" s="5" t="s">
        <v>705</v>
      </c>
    </row>
    <row r="41" spans="2:8" x14ac:dyDescent="0.2">
      <c r="D41" s="5" t="s">
        <v>711</v>
      </c>
    </row>
    <row r="42" spans="2:8" x14ac:dyDescent="0.2">
      <c r="D42" s="5" t="s">
        <v>712</v>
      </c>
    </row>
    <row r="43" spans="2:8" x14ac:dyDescent="0.2">
      <c r="B43" s="5" t="s">
        <v>1283</v>
      </c>
    </row>
    <row r="44" spans="2:8" x14ac:dyDescent="0.2">
      <c r="D44" s="5" t="s">
        <v>1284</v>
      </c>
    </row>
    <row r="45" spans="2:8" x14ac:dyDescent="0.2">
      <c r="E45" s="5" t="s">
        <v>1285</v>
      </c>
      <c r="F45" s="5">
        <v>461</v>
      </c>
      <c r="G45" s="5" t="s">
        <v>23</v>
      </c>
      <c r="H45" s="5" t="s">
        <v>1925</v>
      </c>
    </row>
    <row r="46" spans="2:8" x14ac:dyDescent="0.2">
      <c r="E46" s="5" t="s">
        <v>1286</v>
      </c>
      <c r="F46" s="5">
        <v>613</v>
      </c>
      <c r="G46" s="5" t="s">
        <v>23</v>
      </c>
      <c r="H46" s="5" t="s">
        <v>1925</v>
      </c>
    </row>
    <row r="47" spans="2:8" x14ac:dyDescent="0.2">
      <c r="E47" s="5" t="s">
        <v>1287</v>
      </c>
      <c r="F47" s="5">
        <v>732</v>
      </c>
      <c r="G47" s="5" t="s">
        <v>23</v>
      </c>
      <c r="H47" s="5" t="s">
        <v>1925</v>
      </c>
    </row>
    <row r="48" spans="2:8" x14ac:dyDescent="0.2">
      <c r="E48" s="5" t="s">
        <v>1288</v>
      </c>
      <c r="F48" s="5">
        <v>885</v>
      </c>
      <c r="G48" s="5" t="s">
        <v>23</v>
      </c>
      <c r="H48" s="5" t="s">
        <v>1925</v>
      </c>
    </row>
    <row r="49" spans="2:8" x14ac:dyDescent="0.2">
      <c r="D49" s="5" t="s">
        <v>1276</v>
      </c>
    </row>
    <row r="50" spans="2:8" x14ac:dyDescent="0.2">
      <c r="D50" s="5" t="s">
        <v>1289</v>
      </c>
    </row>
    <row r="51" spans="2:8" x14ac:dyDescent="0.2">
      <c r="D51" s="5" t="s">
        <v>1278</v>
      </c>
    </row>
    <row r="52" spans="2:8" x14ac:dyDescent="0.2">
      <c r="E52" s="5" t="s">
        <v>1290</v>
      </c>
      <c r="F52" s="5">
        <v>461</v>
      </c>
      <c r="G52" s="5" t="s">
        <v>23</v>
      </c>
      <c r="H52" s="5" t="s">
        <v>1925</v>
      </c>
    </row>
    <row r="53" spans="2:8" x14ac:dyDescent="0.2">
      <c r="E53" s="5" t="s">
        <v>1291</v>
      </c>
      <c r="F53" s="5">
        <v>613</v>
      </c>
      <c r="G53" s="5" t="s">
        <v>23</v>
      </c>
      <c r="H53" s="5" t="s">
        <v>1925</v>
      </c>
    </row>
    <row r="54" spans="2:8" x14ac:dyDescent="0.2">
      <c r="E54" s="5" t="s">
        <v>1292</v>
      </c>
      <c r="F54" s="5">
        <v>732</v>
      </c>
      <c r="G54" s="5" t="s">
        <v>23</v>
      </c>
      <c r="H54" s="5" t="s">
        <v>1925</v>
      </c>
    </row>
    <row r="55" spans="2:8" x14ac:dyDescent="0.2">
      <c r="E55" s="5" t="s">
        <v>1293</v>
      </c>
      <c r="F55" s="5">
        <v>885</v>
      </c>
      <c r="G55" s="5" t="s">
        <v>23</v>
      </c>
      <c r="H55" s="5" t="s">
        <v>1925</v>
      </c>
    </row>
    <row r="56" spans="2:8" x14ac:dyDescent="0.2">
      <c r="D56" s="5" t="s">
        <v>1279</v>
      </c>
    </row>
    <row r="57" spans="2:8" x14ac:dyDescent="0.2">
      <c r="B57" s="5" t="s">
        <v>1294</v>
      </c>
    </row>
    <row r="58" spans="2:8" x14ac:dyDescent="0.2">
      <c r="D58" s="5" t="s">
        <v>703</v>
      </c>
    </row>
    <row r="59" spans="2:8" x14ac:dyDescent="0.2">
      <c r="D59" s="5" t="s">
        <v>704</v>
      </c>
    </row>
    <row r="60" spans="2:8" x14ac:dyDescent="0.2">
      <c r="D60" s="5" t="s">
        <v>705</v>
      </c>
    </row>
    <row r="61" spans="2:8" x14ac:dyDescent="0.2">
      <c r="D61" s="5" t="s">
        <v>711</v>
      </c>
    </row>
    <row r="62" spans="2:8" x14ac:dyDescent="0.2">
      <c r="D62" s="5" t="s">
        <v>712</v>
      </c>
    </row>
  </sheetData>
  <autoFilter ref="A18:H18"/>
  <conditionalFormatting sqref="C17">
    <cfRule type="cellIs" dxfId="87" priority="1" stopIfTrue="1" operator="equal">
      <formula>$B$10</formula>
    </cfRule>
    <cfRule type="cellIs" dxfId="86"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indexed="11"/>
  </sheetPr>
  <dimension ref="A1:H30"/>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13</v>
      </c>
      <c r="C2" s="15">
        <f>IF(ISERROR(VALUE(TRIM(CLEAN(MID(C20,FIND("(",C20)+1,FIND("/",C20,1)-FIND("(",C20)-1))))),0,VALUE(TRIM(CLEAN(MID(C20,FIND("(",C20)+1,FIND("/",C20,1)-FIND("(",C20)-1)))))</f>
        <v>13</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16</v>
      </c>
      <c r="C4" s="16">
        <f>IF(ISERROR(VALUE(TRIM(CLEAN(MID(C23,FIND("(",C23)+1,FIND("/",C23,1)-FIND("(",C23)-1))))),0,VALUE(TRIM(CLEAN(MID(C23,FIND("(",C23)+1,FIND("/",C23,1)-FIND("(",C23)-1)))))</f>
        <v>16</v>
      </c>
      <c r="E4" s="29" t="s">
        <v>2</v>
      </c>
    </row>
    <row r="5" spans="1:5" ht="22.5" x14ac:dyDescent="0.2">
      <c r="A5" s="20" t="s">
        <v>17</v>
      </c>
      <c r="B5" s="21">
        <f>IF(ISERROR(VALUE(TRIM(CLEAN(MID(C24,FIND("/",C24)+1,FIND(")",C24,1)-FIND("/",C24)-1))))),0,VALUE(TRIM(CLEAN(MID(C24,FIND("/",C24)+1,FIND(")",C24,1)-FIND("/",C24)-1)))))</f>
        <v>3</v>
      </c>
      <c r="C5" s="16">
        <f>IF(ISERROR(VALUE(TRIM(CLEAN(MID(C24,FIND("(",C24)+1,FIND("/",C24,1)-FIND("(",C24)-1))))),0,VALUE(TRIM(CLEAN(MID(C24,FIND("(",C24)+1,FIND("/",C24,1)-FIND("(",C24)-1)))))</f>
        <v>3</v>
      </c>
    </row>
    <row r="6" spans="1:5" x14ac:dyDescent="0.2">
      <c r="A6" s="20"/>
      <c r="B6" s="21"/>
      <c r="C6" s="16"/>
    </row>
    <row r="7" spans="1:5" ht="13.5" thickBot="1" x14ac:dyDescent="0.25">
      <c r="A7" s="22" t="s">
        <v>13</v>
      </c>
      <c r="B7" s="23">
        <f>SUM(B2:B5)</f>
        <v>32</v>
      </c>
      <c r="C7" s="17">
        <f>SUM(C2:C5)</f>
        <v>32</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1296</v>
      </c>
    </row>
    <row r="20" spans="1:8" x14ac:dyDescent="0.2">
      <c r="C20" s="5" t="s">
        <v>1297</v>
      </c>
    </row>
    <row r="21" spans="1:8" x14ac:dyDescent="0.2">
      <c r="C21" s="5" t="s">
        <v>704</v>
      </c>
    </row>
    <row r="22" spans="1:8" x14ac:dyDescent="0.2">
      <c r="C22" s="5" t="s">
        <v>839</v>
      </c>
    </row>
    <row r="23" spans="1:8" x14ac:dyDescent="0.2">
      <c r="C23" s="5" t="s">
        <v>1006</v>
      </c>
    </row>
    <row r="24" spans="1:8" x14ac:dyDescent="0.2">
      <c r="C24" s="5" t="s">
        <v>728</v>
      </c>
    </row>
    <row r="25" spans="1:8" x14ac:dyDescent="0.2">
      <c r="B25" s="5" t="s">
        <v>1298</v>
      </c>
    </row>
    <row r="26" spans="1:8" x14ac:dyDescent="0.2">
      <c r="D26" s="5" t="s">
        <v>1297</v>
      </c>
    </row>
    <row r="27" spans="1:8" x14ac:dyDescent="0.2">
      <c r="D27" s="5" t="s">
        <v>704</v>
      </c>
    </row>
    <row r="28" spans="1:8" x14ac:dyDescent="0.2">
      <c r="D28" s="5" t="s">
        <v>839</v>
      </c>
    </row>
    <row r="29" spans="1:8" x14ac:dyDescent="0.2">
      <c r="D29" s="5" t="s">
        <v>1006</v>
      </c>
    </row>
    <row r="30" spans="1:8" x14ac:dyDescent="0.2">
      <c r="D30" s="5" t="s">
        <v>728</v>
      </c>
    </row>
  </sheetData>
  <autoFilter ref="A18:H18"/>
  <conditionalFormatting sqref="C17">
    <cfRule type="cellIs" dxfId="85" priority="1" stopIfTrue="1" operator="equal">
      <formula>$B$10</formula>
    </cfRule>
    <cfRule type="cellIs" dxfId="84"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indexed="11"/>
  </sheetPr>
  <dimension ref="A1:H60"/>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6</v>
      </c>
      <c r="C2" s="15">
        <f>IF(ISERROR(VALUE(TRIM(CLEAN(MID(C20,FIND("(",C20)+1,FIND("/",C20,1)-FIND("(",C20)-1))))),0,VALUE(TRIM(CLEAN(MID(C20,FIND("(",C20)+1,FIND("/",C20,1)-FIND("(",C20)-1)))))</f>
        <v>6</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12</v>
      </c>
      <c r="C4" s="16">
        <f>IF(ISERROR(VALUE(TRIM(CLEAN(MID(C23,FIND("(",C23)+1,FIND("/",C23,1)-FIND("(",C23)-1))))),0,VALUE(TRIM(CLEAN(MID(C23,FIND("(",C23)+1,FIND("/",C23,1)-FIND("(",C23)-1)))))</f>
        <v>12</v>
      </c>
      <c r="E4" s="29" t="s">
        <v>2</v>
      </c>
    </row>
    <row r="5" spans="1:5" ht="22.5" x14ac:dyDescent="0.2">
      <c r="A5" s="20" t="s">
        <v>17</v>
      </c>
      <c r="B5" s="21">
        <f>IF(ISERROR(VALUE(TRIM(CLEAN(MID(C24,FIND("/",C24)+1,FIND(")",C24,1)-FIND("/",C24)-1))))),0,VALUE(TRIM(CLEAN(MID(C24,FIND("/",C24)+1,FIND(")",C24,1)-FIND("/",C24)-1)))))</f>
        <v>6</v>
      </c>
      <c r="C5" s="16">
        <f>IF(ISERROR(VALUE(TRIM(CLEAN(MID(C24,FIND("(",C24)+1,FIND("/",C24,1)-FIND("(",C24)-1))))),0,VALUE(TRIM(CLEAN(MID(C24,FIND("(",C24)+1,FIND("/",C24,1)-FIND("(",C24)-1)))))</f>
        <v>6</v>
      </c>
    </row>
    <row r="6" spans="1:5" x14ac:dyDescent="0.2">
      <c r="A6" s="20"/>
      <c r="B6" s="21"/>
      <c r="C6" s="16"/>
    </row>
    <row r="7" spans="1:5" ht="13.5" thickBot="1" x14ac:dyDescent="0.25">
      <c r="A7" s="22" t="s">
        <v>13</v>
      </c>
      <c r="B7" s="23">
        <f>SUM(B2:B5)</f>
        <v>24</v>
      </c>
      <c r="C7" s="17">
        <f>SUM(C2:C5)</f>
        <v>24</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1300</v>
      </c>
    </row>
    <row r="20" spans="1:8" x14ac:dyDescent="0.2">
      <c r="C20" s="5" t="s">
        <v>886</v>
      </c>
    </row>
    <row r="21" spans="1:8" x14ac:dyDescent="0.2">
      <c r="C21" s="5" t="s">
        <v>704</v>
      </c>
    </row>
    <row r="22" spans="1:8" x14ac:dyDescent="0.2">
      <c r="C22" s="5" t="s">
        <v>887</v>
      </c>
    </row>
    <row r="23" spans="1:8" x14ac:dyDescent="0.2">
      <c r="C23" s="5" t="s">
        <v>794</v>
      </c>
    </row>
    <row r="24" spans="1:8" x14ac:dyDescent="0.2">
      <c r="C24" s="5" t="s">
        <v>795</v>
      </c>
    </row>
    <row r="25" spans="1:8" x14ac:dyDescent="0.2">
      <c r="B25" s="5" t="s">
        <v>1301</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1302</v>
      </c>
    </row>
    <row r="32" spans="1:8" x14ac:dyDescent="0.2">
      <c r="D32" s="5" t="s">
        <v>703</v>
      </c>
    </row>
    <row r="33" spans="2:4" x14ac:dyDescent="0.2">
      <c r="D33" s="5" t="s">
        <v>704</v>
      </c>
    </row>
    <row r="34" spans="2:4" x14ac:dyDescent="0.2">
      <c r="D34" s="5" t="s">
        <v>705</v>
      </c>
    </row>
    <row r="35" spans="2:4" x14ac:dyDescent="0.2">
      <c r="D35" s="5" t="s">
        <v>706</v>
      </c>
    </row>
    <row r="36" spans="2:4" x14ac:dyDescent="0.2">
      <c r="D36" s="5" t="s">
        <v>707</v>
      </c>
    </row>
    <row r="37" spans="2:4" x14ac:dyDescent="0.2">
      <c r="B37" s="5" t="s">
        <v>1303</v>
      </c>
    </row>
    <row r="38" spans="2:4" x14ac:dyDescent="0.2">
      <c r="D38" s="5" t="s">
        <v>703</v>
      </c>
    </row>
    <row r="39" spans="2:4" x14ac:dyDescent="0.2">
      <c r="D39" s="5" t="s">
        <v>704</v>
      </c>
    </row>
    <row r="40" spans="2:4" x14ac:dyDescent="0.2">
      <c r="D40" s="5" t="s">
        <v>705</v>
      </c>
    </row>
    <row r="41" spans="2:4" x14ac:dyDescent="0.2">
      <c r="D41" s="5" t="s">
        <v>711</v>
      </c>
    </row>
    <row r="42" spans="2:4" x14ac:dyDescent="0.2">
      <c r="D42" s="5" t="s">
        <v>712</v>
      </c>
    </row>
    <row r="43" spans="2:4" x14ac:dyDescent="0.2">
      <c r="B43" s="5" t="s">
        <v>1304</v>
      </c>
    </row>
    <row r="44" spans="2:4" x14ac:dyDescent="0.2">
      <c r="D44" s="5" t="s">
        <v>703</v>
      </c>
    </row>
    <row r="45" spans="2:4" x14ac:dyDescent="0.2">
      <c r="D45" s="5" t="s">
        <v>704</v>
      </c>
    </row>
    <row r="46" spans="2:4" x14ac:dyDescent="0.2">
      <c r="D46" s="5" t="s">
        <v>705</v>
      </c>
    </row>
    <row r="47" spans="2:4" x14ac:dyDescent="0.2">
      <c r="D47" s="5" t="s">
        <v>706</v>
      </c>
    </row>
    <row r="48" spans="2:4" x14ac:dyDescent="0.2">
      <c r="D48" s="5" t="s">
        <v>707</v>
      </c>
    </row>
    <row r="49" spans="2:4" x14ac:dyDescent="0.2">
      <c r="B49" s="5" t="s">
        <v>1305</v>
      </c>
    </row>
    <row r="50" spans="2:4" x14ac:dyDescent="0.2">
      <c r="D50" s="5" t="s">
        <v>703</v>
      </c>
    </row>
    <row r="51" spans="2:4" x14ac:dyDescent="0.2">
      <c r="D51" s="5" t="s">
        <v>704</v>
      </c>
    </row>
    <row r="52" spans="2:4" x14ac:dyDescent="0.2">
      <c r="D52" s="5" t="s">
        <v>705</v>
      </c>
    </row>
    <row r="53" spans="2:4" x14ac:dyDescent="0.2">
      <c r="D53" s="5" t="s">
        <v>711</v>
      </c>
    </row>
    <row r="54" spans="2:4" x14ac:dyDescent="0.2">
      <c r="D54" s="5" t="s">
        <v>712</v>
      </c>
    </row>
    <row r="55" spans="2:4" x14ac:dyDescent="0.2">
      <c r="B55" s="5" t="s">
        <v>1306</v>
      </c>
    </row>
    <row r="56" spans="2:4" x14ac:dyDescent="0.2">
      <c r="D56" s="5" t="s">
        <v>703</v>
      </c>
    </row>
    <row r="57" spans="2:4" x14ac:dyDescent="0.2">
      <c r="D57" s="5" t="s">
        <v>704</v>
      </c>
    </row>
    <row r="58" spans="2:4" x14ac:dyDescent="0.2">
      <c r="D58" s="5" t="s">
        <v>705</v>
      </c>
    </row>
    <row r="59" spans="2:4" x14ac:dyDescent="0.2">
      <c r="D59" s="5" t="s">
        <v>706</v>
      </c>
    </row>
    <row r="60" spans="2:4" x14ac:dyDescent="0.2">
      <c r="D60" s="5" t="s">
        <v>707</v>
      </c>
    </row>
  </sheetData>
  <autoFilter ref="A18:H18"/>
  <conditionalFormatting sqref="C17">
    <cfRule type="cellIs" dxfId="83" priority="1" stopIfTrue="1" operator="equal">
      <formula>$B$10</formula>
    </cfRule>
    <cfRule type="cellIs" dxfId="82"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indexed="11"/>
  </sheetPr>
  <dimension ref="A1:H38"/>
  <sheetViews>
    <sheetView workbookViewId="0">
      <selection activeCell="F33" sqref="F33:H37"/>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10</v>
      </c>
      <c r="C2" s="15">
        <f>IF(ISERROR(VALUE(TRIM(CLEAN(MID(C20,FIND("(",C20)+1,FIND("/",C20,1)-FIND("(",C20)-1))))),0,VALUE(TRIM(CLEAN(MID(C20,FIND("(",C20)+1,FIND("/",C20,1)-FIND("(",C20)-1)))))</f>
        <v>9</v>
      </c>
    </row>
    <row r="3" spans="1:5" ht="22.5" x14ac:dyDescent="0.2">
      <c r="A3" s="20" t="s">
        <v>15</v>
      </c>
      <c r="B3" s="21">
        <f>IF(ISERROR(VALUE(TRIM(CLEAN(MID(C21,FIND("/",C21)+1,FIND(")",C21,1)-FIND("/",C21)-1))))),0,VALUE(TRIM(CLEAN(MID(C21,FIND("/",C21)+1,FIND(")",C21,1)-FIND("/",C21)-1)))))</f>
        <v>1</v>
      </c>
      <c r="C3" s="16">
        <f>IF(ISERROR(VALUE(TRIM(CLEAN(MID(C21,FIND("(",C21)+1,FIND("/",C21,1)-FIND("(",C21)-1))))),0,VALUE(TRIM(CLEAN(MID(C21,FIND("(",C21)+1,FIND("/",C21,1)-FIND("(",C21)-1)))))</f>
        <v>1</v>
      </c>
      <c r="E3" s="29" t="s">
        <v>1</v>
      </c>
    </row>
    <row r="4" spans="1:5" ht="22.5" x14ac:dyDescent="0.2">
      <c r="A4" s="20" t="s">
        <v>16</v>
      </c>
      <c r="B4" s="21">
        <f>IF(ISERROR(VALUE(TRIM(CLEAN(MID(C23,FIND("/",C23)+1,FIND(")",C23,1)-FIND("/",C23)-1))))),0,VALUE(TRIM(CLEAN(MID(C23,FIND("/",C23)+1,FIND(")",C23,1)-FIND("/",C23)-1)))))</f>
        <v>13</v>
      </c>
      <c r="C4" s="16">
        <f>IF(ISERROR(VALUE(TRIM(CLEAN(MID(C23,FIND("(",C23)+1,FIND("/",C23,1)-FIND("(",C23)-1))))),0,VALUE(TRIM(CLEAN(MID(C23,FIND("(",C23)+1,FIND("/",C23,1)-FIND("(",C23)-1)))))</f>
        <v>12</v>
      </c>
      <c r="E4" s="29" t="s">
        <v>2</v>
      </c>
    </row>
    <row r="5" spans="1:5" ht="22.5" x14ac:dyDescent="0.2">
      <c r="A5" s="20" t="s">
        <v>17</v>
      </c>
      <c r="B5" s="21">
        <f>IF(ISERROR(VALUE(TRIM(CLEAN(MID(C24,FIND("/",C24)+1,FIND(")",C24,1)-FIND("/",C24)-1))))),0,VALUE(TRIM(CLEAN(MID(C24,FIND("/",C24)+1,FIND(")",C24,1)-FIND("/",C24)-1)))))</f>
        <v>2</v>
      </c>
      <c r="C5" s="16">
        <f>IF(ISERROR(VALUE(TRIM(CLEAN(MID(C24,FIND("(",C24)+1,FIND("/",C24,1)-FIND("(",C24)-1))))),0,VALUE(TRIM(CLEAN(MID(C24,FIND("(",C24)+1,FIND("/",C24,1)-FIND("(",C24)-1)))))</f>
        <v>2</v>
      </c>
    </row>
    <row r="6" spans="1:5" x14ac:dyDescent="0.2">
      <c r="A6" s="20"/>
      <c r="B6" s="21"/>
      <c r="C6" s="16"/>
    </row>
    <row r="7" spans="1:5" ht="13.5" thickBot="1" x14ac:dyDescent="0.25">
      <c r="A7" s="22" t="s">
        <v>13</v>
      </c>
      <c r="B7" s="23">
        <f>SUM(B2:B5)</f>
        <v>26</v>
      </c>
      <c r="C7" s="17">
        <f>SUM(C2:C5)</f>
        <v>24</v>
      </c>
    </row>
    <row r="8" spans="1:5" x14ac:dyDescent="0.2">
      <c r="A8" s="12"/>
      <c r="B8" s="7"/>
      <c r="C8" s="7"/>
    </row>
    <row r="9" spans="1:5" ht="13.5" thickBot="1" x14ac:dyDescent="0.25">
      <c r="A9" s="10"/>
      <c r="B9" s="7"/>
      <c r="C9" s="7"/>
    </row>
    <row r="10" spans="1:5" ht="24" thickTop="1" thickBot="1" x14ac:dyDescent="0.25">
      <c r="A10" s="24" t="s">
        <v>18</v>
      </c>
      <c r="B10" s="26">
        <f>B7-C7</f>
        <v>2</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2</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2</v>
      </c>
    </row>
    <row r="18" spans="1:8" customFormat="1" ht="23.25" x14ac:dyDescent="0.25">
      <c r="A18" s="4" t="s">
        <v>3</v>
      </c>
      <c r="B18" s="6" t="s">
        <v>4</v>
      </c>
      <c r="C18" s="8" t="s">
        <v>6</v>
      </c>
      <c r="D18" s="8" t="s">
        <v>7</v>
      </c>
      <c r="E18" s="8" t="s">
        <v>5</v>
      </c>
      <c r="F18" s="3" t="s">
        <v>10</v>
      </c>
      <c r="G18" s="1" t="s">
        <v>9</v>
      </c>
      <c r="H18" s="2" t="s">
        <v>8</v>
      </c>
    </row>
    <row r="19" spans="1:8" x14ac:dyDescent="0.2">
      <c r="A19" s="5" t="s">
        <v>1308</v>
      </c>
    </row>
    <row r="20" spans="1:8" x14ac:dyDescent="0.2">
      <c r="C20" s="5" t="s">
        <v>1309</v>
      </c>
    </row>
    <row r="21" spans="1:8" x14ac:dyDescent="0.2">
      <c r="C21" s="5" t="s">
        <v>859</v>
      </c>
    </row>
    <row r="22" spans="1:8" x14ac:dyDescent="0.2">
      <c r="C22" s="5" t="s">
        <v>1310</v>
      </c>
    </row>
    <row r="23" spans="1:8" x14ac:dyDescent="0.2">
      <c r="C23" s="5" t="s">
        <v>966</v>
      </c>
    </row>
    <row r="24" spans="1:8" x14ac:dyDescent="0.2">
      <c r="C24" s="5" t="s">
        <v>707</v>
      </c>
    </row>
    <row r="25" spans="1:8" x14ac:dyDescent="0.2">
      <c r="B25" s="5" t="s">
        <v>1311</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1312</v>
      </c>
    </row>
    <row r="32" spans="1:8" x14ac:dyDescent="0.2">
      <c r="D32" s="5" t="s">
        <v>971</v>
      </c>
    </row>
    <row r="33" spans="4:8" x14ac:dyDescent="0.2">
      <c r="E33" s="5" t="s">
        <v>1313</v>
      </c>
      <c r="F33" s="5">
        <v>149</v>
      </c>
      <c r="G33" s="5" t="s">
        <v>23</v>
      </c>
      <c r="H33" s="5" t="s">
        <v>1925</v>
      </c>
    </row>
    <row r="34" spans="4:8" x14ac:dyDescent="0.2">
      <c r="D34" s="5" t="s">
        <v>859</v>
      </c>
    </row>
    <row r="35" spans="4:8" x14ac:dyDescent="0.2">
      <c r="D35" s="5" t="s">
        <v>973</v>
      </c>
    </row>
    <row r="36" spans="4:8" x14ac:dyDescent="0.2">
      <c r="D36" s="5" t="s">
        <v>966</v>
      </c>
    </row>
    <row r="37" spans="4:8" x14ac:dyDescent="0.2">
      <c r="E37" s="5" t="s">
        <v>1314</v>
      </c>
      <c r="F37" s="5">
        <v>149</v>
      </c>
      <c r="G37" s="5" t="s">
        <v>23</v>
      </c>
      <c r="H37" s="5" t="s">
        <v>1925</v>
      </c>
    </row>
    <row r="38" spans="4:8" x14ac:dyDescent="0.2">
      <c r="D38" s="5" t="s">
        <v>707</v>
      </c>
    </row>
  </sheetData>
  <autoFilter ref="A18:H18"/>
  <conditionalFormatting sqref="C17">
    <cfRule type="cellIs" dxfId="81" priority="1" stopIfTrue="1" operator="equal">
      <formula>$B$10</formula>
    </cfRule>
    <cfRule type="cellIs" dxfId="80"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5</v>
      </c>
      <c r="C2" s="15">
        <f>IF(ISERROR(VALUE(TRIM(CLEAN(MID(C20,FIND("(",C20)+1,FIND("/",C20,1)-FIND("(",C20)-1))))),0,VALUE(TRIM(CLEAN(MID(C20,FIND("(",C20)+1,FIND("/",C20,1)-FIND("(",C20)-1)))))</f>
        <v>5</v>
      </c>
    </row>
    <row r="3" spans="1:5" ht="22.5" x14ac:dyDescent="0.2">
      <c r="A3" s="20" t="s">
        <v>15</v>
      </c>
      <c r="B3" s="21">
        <f>IF(ISERROR(VALUE(TRIM(CLEAN(MID(C21,FIND("/",C21)+1,FIND(")",C21,1)-FIND("/",C21)-1))))),0,VALUE(TRIM(CLEAN(MID(C21,FIND("/",C21)+1,FIND(")",C21,1)-FIND("/",C21)-1)))))</f>
        <v>3</v>
      </c>
      <c r="C3" s="16">
        <f>IF(ISERROR(VALUE(TRIM(CLEAN(MID(C21,FIND("(",C21)+1,FIND("/",C21,1)-FIND("(",C21)-1))))),0,VALUE(TRIM(CLEAN(MID(C21,FIND("(",C21)+1,FIND("/",C21,1)-FIND("(",C21)-1)))))</f>
        <v>3</v>
      </c>
      <c r="E3" s="29" t="s">
        <v>1</v>
      </c>
    </row>
    <row r="4" spans="1:5" ht="22.5" x14ac:dyDescent="0.2">
      <c r="A4" s="20" t="s">
        <v>16</v>
      </c>
      <c r="B4" s="21">
        <f>IF(ISERROR(VALUE(TRIM(CLEAN(MID(C23,FIND("/",C23)+1,FIND(")",C23,1)-FIND("/",C23)-1))))),0,VALUE(TRIM(CLEAN(MID(C23,FIND("/",C23)+1,FIND(")",C23,1)-FIND("/",C23)-1)))))</f>
        <v>14</v>
      </c>
      <c r="C4" s="16">
        <f>IF(ISERROR(VALUE(TRIM(CLEAN(MID(C23,FIND("(",C23)+1,FIND("/",C23,1)-FIND("(",C23)-1))))),0,VALUE(TRIM(CLEAN(MID(C23,FIND("(",C23)+1,FIND("/",C23,1)-FIND("(",C23)-1)))))</f>
        <v>14</v>
      </c>
      <c r="E4" s="29" t="s">
        <v>2</v>
      </c>
    </row>
    <row r="5" spans="1:5" ht="22.5" x14ac:dyDescent="0.2">
      <c r="A5" s="20" t="s">
        <v>17</v>
      </c>
      <c r="B5" s="21">
        <f>IF(ISERROR(VALUE(TRIM(CLEAN(MID(C24,FIND("/",C24)+1,FIND(")",C24,1)-FIND("/",C24)-1))))),0,VALUE(TRIM(CLEAN(MID(C24,FIND("/",C24)+1,FIND(")",C24,1)-FIND("/",C24)-1)))))</f>
        <v>4</v>
      </c>
      <c r="C5" s="16">
        <f>IF(ISERROR(VALUE(TRIM(CLEAN(MID(C24,FIND("(",C24)+1,FIND("/",C24,1)-FIND("(",C24)-1))))),0,VALUE(TRIM(CLEAN(MID(C24,FIND("(",C24)+1,FIND("/",C24,1)-FIND("(",C24)-1)))))</f>
        <v>4</v>
      </c>
    </row>
    <row r="6" spans="1:5" x14ac:dyDescent="0.2">
      <c r="A6" s="20"/>
      <c r="B6" s="21"/>
      <c r="C6" s="16"/>
    </row>
    <row r="7" spans="1:5" ht="13.5" thickBot="1" x14ac:dyDescent="0.25">
      <c r="A7" s="22" t="s">
        <v>13</v>
      </c>
      <c r="B7" s="23">
        <f>SUM(B2:B5)</f>
        <v>26</v>
      </c>
      <c r="C7" s="17">
        <f>SUM(C2:C5)</f>
        <v>26</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1316</v>
      </c>
    </row>
    <row r="20" spans="1:8" x14ac:dyDescent="0.2">
      <c r="C20" s="5" t="s">
        <v>864</v>
      </c>
    </row>
    <row r="21" spans="1:8" x14ac:dyDescent="0.2">
      <c r="C21" s="5" t="s">
        <v>897</v>
      </c>
    </row>
    <row r="22" spans="1:8" x14ac:dyDescent="0.2">
      <c r="C22" s="5" t="s">
        <v>1264</v>
      </c>
    </row>
    <row r="23" spans="1:8" x14ac:dyDescent="0.2">
      <c r="C23" s="5" t="s">
        <v>1033</v>
      </c>
    </row>
    <row r="24" spans="1:8" x14ac:dyDescent="0.2">
      <c r="C24" s="5" t="s">
        <v>744</v>
      </c>
    </row>
    <row r="25" spans="1:8" x14ac:dyDescent="0.2">
      <c r="B25" s="5" t="s">
        <v>1317</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1318</v>
      </c>
    </row>
    <row r="32" spans="1:8" x14ac:dyDescent="0.2">
      <c r="D32" s="5" t="s">
        <v>877</v>
      </c>
    </row>
    <row r="33" spans="4:4" x14ac:dyDescent="0.2">
      <c r="D33" s="5" t="s">
        <v>897</v>
      </c>
    </row>
    <row r="34" spans="4:4" x14ac:dyDescent="0.2">
      <c r="D34" s="5" t="s">
        <v>1013</v>
      </c>
    </row>
    <row r="35" spans="4:4" x14ac:dyDescent="0.2">
      <c r="D35" s="5" t="s">
        <v>1033</v>
      </c>
    </row>
    <row r="36" spans="4:4" x14ac:dyDescent="0.2">
      <c r="D36" s="5" t="s">
        <v>744</v>
      </c>
    </row>
  </sheetData>
  <autoFilter ref="A18:H18"/>
  <conditionalFormatting sqref="C17">
    <cfRule type="cellIs" dxfId="79" priority="1" stopIfTrue="1" operator="equal">
      <formula>$B$10</formula>
    </cfRule>
    <cfRule type="cellIs" dxfId="78"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tabColor indexed="11"/>
  </sheetPr>
  <dimension ref="A1:H48"/>
  <sheetViews>
    <sheetView workbookViewId="0">
      <selection activeCell="E3" sqref="E3"/>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91</v>
      </c>
      <c r="C2" s="15">
        <f>IF(ISERROR(VALUE(TRIM(CLEAN(MID(C20,FIND("(",C20)+1,FIND("/",C20,1)-FIND("(",C20)-1))))),0,VALUE(TRIM(CLEAN(MID(C20,FIND("(",C20)+1,FIND("/",C20,1)-FIND("(",C20)-1)))))</f>
        <v>91</v>
      </c>
    </row>
    <row r="3" spans="1:5" ht="22.5" x14ac:dyDescent="0.2">
      <c r="A3" s="20" t="s">
        <v>15</v>
      </c>
      <c r="B3" s="21">
        <f>IF(ISERROR(VALUE(TRIM(CLEAN(MID(C21,FIND("/",C21)+1,FIND(")",C21,1)-FIND("/",C21)-1))))),0,VALUE(TRIM(CLEAN(MID(C21,FIND("/",C21)+1,FIND(")",C21,1)-FIND("/",C21)-1)))))</f>
        <v>16</v>
      </c>
      <c r="C3" s="16">
        <f>IF(ISERROR(VALUE(TRIM(CLEAN(MID(C21,FIND("(",C21)+1,FIND("/",C21,1)-FIND("(",C21)-1))))),0,VALUE(TRIM(CLEAN(MID(C21,FIND("(",C21)+1,FIND("/",C21,1)-FIND("(",C21)-1)))))</f>
        <v>16</v>
      </c>
      <c r="E3" s="29" t="s">
        <v>1</v>
      </c>
    </row>
    <row r="4" spans="1:5" ht="22.5" x14ac:dyDescent="0.2">
      <c r="A4" s="20" t="s">
        <v>16</v>
      </c>
      <c r="B4" s="21">
        <f>IF(ISERROR(VALUE(TRIM(CLEAN(MID(C23,FIND("/",C23)+1,FIND(")",C23,1)-FIND("/",C23)-1))))),0,VALUE(TRIM(CLEAN(MID(C23,FIND("/",C23)+1,FIND(")",C23,1)-FIND("/",C23)-1)))))</f>
        <v>137</v>
      </c>
      <c r="C4" s="16">
        <f>IF(ISERROR(VALUE(TRIM(CLEAN(MID(C23,FIND("(",C23)+1,FIND("/",C23,1)-FIND("(",C23)-1))))),0,VALUE(TRIM(CLEAN(MID(C23,FIND("(",C23)+1,FIND("/",C23,1)-FIND("(",C23)-1)))))</f>
        <v>137</v>
      </c>
      <c r="E4" s="29" t="s">
        <v>2</v>
      </c>
    </row>
    <row r="5" spans="1:5" ht="22.5" x14ac:dyDescent="0.2">
      <c r="A5" s="20" t="s">
        <v>17</v>
      </c>
      <c r="B5" s="21">
        <f>IF(ISERROR(VALUE(TRIM(CLEAN(MID(C24,FIND("/",C24)+1,FIND(")",C24,1)-FIND("/",C24)-1))))),0,VALUE(TRIM(CLEAN(MID(C24,FIND("/",C24)+1,FIND(")",C24,1)-FIND("/",C24)-1)))))</f>
        <v>24</v>
      </c>
      <c r="C5" s="16">
        <f>IF(ISERROR(VALUE(TRIM(CLEAN(MID(C24,FIND("(",C24)+1,FIND("/",C24,1)-FIND("(",C24)-1))))),0,VALUE(TRIM(CLEAN(MID(C24,FIND("(",C24)+1,FIND("/",C24,1)-FIND("(",C24)-1)))))</f>
        <v>24</v>
      </c>
    </row>
    <row r="6" spans="1:5" x14ac:dyDescent="0.2">
      <c r="A6" s="20"/>
      <c r="B6" s="21"/>
      <c r="C6" s="16"/>
    </row>
    <row r="7" spans="1:5" ht="13.5" thickBot="1" x14ac:dyDescent="0.25">
      <c r="A7" s="22" t="s">
        <v>13</v>
      </c>
      <c r="B7" s="23">
        <f>SUM(B2:B5)</f>
        <v>268</v>
      </c>
      <c r="C7" s="17">
        <f>SUM(C2:C5)</f>
        <v>268</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1320</v>
      </c>
    </row>
    <row r="20" spans="1:8" x14ac:dyDescent="0.2">
      <c r="C20" s="5" t="s">
        <v>1321</v>
      </c>
    </row>
    <row r="21" spans="1:8" x14ac:dyDescent="0.2">
      <c r="C21" s="5" t="s">
        <v>1239</v>
      </c>
    </row>
    <row r="22" spans="1:8" x14ac:dyDescent="0.2">
      <c r="C22" s="5" t="s">
        <v>1322</v>
      </c>
    </row>
    <row r="23" spans="1:8" x14ac:dyDescent="0.2">
      <c r="C23" s="5" t="s">
        <v>1323</v>
      </c>
    </row>
    <row r="24" spans="1:8" x14ac:dyDescent="0.2">
      <c r="C24" s="5" t="s">
        <v>764</v>
      </c>
    </row>
    <row r="25" spans="1:8" x14ac:dyDescent="0.2">
      <c r="B25" s="5" t="s">
        <v>1324</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1325</v>
      </c>
    </row>
    <row r="32" spans="1:8" x14ac:dyDescent="0.2">
      <c r="D32" s="5" t="s">
        <v>703</v>
      </c>
    </row>
    <row r="33" spans="2:4" x14ac:dyDescent="0.2">
      <c r="D33" s="5" t="s">
        <v>704</v>
      </c>
    </row>
    <row r="34" spans="2:4" x14ac:dyDescent="0.2">
      <c r="D34" s="5" t="s">
        <v>705</v>
      </c>
    </row>
    <row r="35" spans="2:4" x14ac:dyDescent="0.2">
      <c r="D35" s="5" t="s">
        <v>711</v>
      </c>
    </row>
    <row r="36" spans="2:4" x14ac:dyDescent="0.2">
      <c r="D36" s="5" t="s">
        <v>712</v>
      </c>
    </row>
    <row r="37" spans="2:4" x14ac:dyDescent="0.2">
      <c r="B37" s="5" t="s">
        <v>1326</v>
      </c>
    </row>
    <row r="38" spans="2:4" x14ac:dyDescent="0.2">
      <c r="D38" s="5" t="s">
        <v>1327</v>
      </c>
    </row>
    <row r="39" spans="2:4" x14ac:dyDescent="0.2">
      <c r="D39" s="5" t="s">
        <v>1239</v>
      </c>
    </row>
    <row r="40" spans="2:4" x14ac:dyDescent="0.2">
      <c r="D40" s="5" t="s">
        <v>1328</v>
      </c>
    </row>
    <row r="41" spans="2:4" x14ac:dyDescent="0.2">
      <c r="D41" s="5" t="s">
        <v>1323</v>
      </c>
    </row>
    <row r="42" spans="2:4" x14ac:dyDescent="0.2">
      <c r="D42" s="5" t="s">
        <v>764</v>
      </c>
    </row>
    <row r="43" spans="2:4" x14ac:dyDescent="0.2">
      <c r="B43" s="5" t="s">
        <v>1329</v>
      </c>
    </row>
    <row r="44" spans="2:4" x14ac:dyDescent="0.2">
      <c r="D44" s="5" t="s">
        <v>703</v>
      </c>
    </row>
    <row r="45" spans="2:4" x14ac:dyDescent="0.2">
      <c r="D45" s="5" t="s">
        <v>704</v>
      </c>
    </row>
    <row r="46" spans="2:4" x14ac:dyDescent="0.2">
      <c r="D46" s="5" t="s">
        <v>705</v>
      </c>
    </row>
    <row r="47" spans="2:4" x14ac:dyDescent="0.2">
      <c r="D47" s="5" t="s">
        <v>711</v>
      </c>
    </row>
    <row r="48" spans="2:4" x14ac:dyDescent="0.2">
      <c r="D48" s="5" t="s">
        <v>712</v>
      </c>
    </row>
  </sheetData>
  <autoFilter ref="A18:H18"/>
  <conditionalFormatting sqref="C17">
    <cfRule type="cellIs" dxfId="77" priority="1" stopIfTrue="1" operator="equal">
      <formula>$B$10</formula>
    </cfRule>
    <cfRule type="cellIs" dxfId="76"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tabColor indexed="11"/>
  </sheetPr>
  <dimension ref="A1:H50"/>
  <sheetViews>
    <sheetView topLeftCell="A10" workbookViewId="0">
      <selection activeCell="E46" sqref="E46"/>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94</v>
      </c>
      <c r="C2" s="15">
        <f>IF(ISERROR(VALUE(TRIM(CLEAN(MID(C20,FIND("(",C20)+1,FIND("/",C20,1)-FIND("(",C20)-1))))),0,VALUE(TRIM(CLEAN(MID(C20,FIND("(",C20)+1,FIND("/",C20,1)-FIND("(",C20)-1)))))</f>
        <v>93</v>
      </c>
    </row>
    <row r="3" spans="1:5" ht="22.5" x14ac:dyDescent="0.2">
      <c r="A3" s="20" t="s">
        <v>15</v>
      </c>
      <c r="B3" s="21">
        <f>IF(ISERROR(VALUE(TRIM(CLEAN(MID(C21,FIND("/",C21)+1,FIND(")",C21,1)-FIND("/",C21)-1))))),0,VALUE(TRIM(CLEAN(MID(C21,FIND("/",C21)+1,FIND(")",C21,1)-FIND("/",C21)-1)))))</f>
        <v>11</v>
      </c>
      <c r="C3" s="16">
        <f>IF(ISERROR(VALUE(TRIM(CLEAN(MID(C21,FIND("(",C21)+1,FIND("/",C21,1)-FIND("(",C21)-1))))),0,VALUE(TRIM(CLEAN(MID(C21,FIND("(",C21)+1,FIND("/",C21,1)-FIND("(",C21)-1)))))</f>
        <v>11</v>
      </c>
      <c r="E3" s="29" t="s">
        <v>1</v>
      </c>
    </row>
    <row r="4" spans="1:5" ht="22.5" x14ac:dyDescent="0.2">
      <c r="A4" s="20" t="s">
        <v>16</v>
      </c>
      <c r="B4" s="21">
        <f>IF(ISERROR(VALUE(TRIM(CLEAN(MID(C23,FIND("/",C23)+1,FIND(")",C23,1)-FIND("/",C23)-1))))),0,VALUE(TRIM(CLEAN(MID(C23,FIND("/",C23)+1,FIND(")",C23,1)-FIND("/",C23)-1)))))</f>
        <v>149</v>
      </c>
      <c r="C4" s="16">
        <f>IF(ISERROR(VALUE(TRIM(CLEAN(MID(C23,FIND("(",C23)+1,FIND("/",C23,1)-FIND("(",C23)-1))))),0,VALUE(TRIM(CLEAN(MID(C23,FIND("(",C23)+1,FIND("/",C23,1)-FIND("(",C23)-1)))))</f>
        <v>148</v>
      </c>
      <c r="E4" s="29" t="s">
        <v>2</v>
      </c>
    </row>
    <row r="5" spans="1:5" ht="22.5" x14ac:dyDescent="0.2">
      <c r="A5" s="20" t="s">
        <v>17</v>
      </c>
      <c r="B5" s="21">
        <f>IF(ISERROR(VALUE(TRIM(CLEAN(MID(C24,FIND("/",C24)+1,FIND(")",C24,1)-FIND("/",C24)-1))))),0,VALUE(TRIM(CLEAN(MID(C24,FIND("/",C24)+1,FIND(")",C24,1)-FIND("/",C24)-1)))))</f>
        <v>36</v>
      </c>
      <c r="C5" s="16">
        <f>IF(ISERROR(VALUE(TRIM(CLEAN(MID(C24,FIND("(",C24)+1,FIND("/",C24,1)-FIND("(",C24)-1))))),0,VALUE(TRIM(CLEAN(MID(C24,FIND("(",C24)+1,FIND("/",C24,1)-FIND("(",C24)-1)))))</f>
        <v>36</v>
      </c>
    </row>
    <row r="6" spans="1:5" x14ac:dyDescent="0.2">
      <c r="A6" s="20"/>
      <c r="B6" s="21"/>
      <c r="C6" s="16"/>
    </row>
    <row r="7" spans="1:5" ht="13.5" thickBot="1" x14ac:dyDescent="0.25">
      <c r="A7" s="22" t="s">
        <v>13</v>
      </c>
      <c r="B7" s="23">
        <f>SUM(B2:B5)</f>
        <v>290</v>
      </c>
      <c r="C7" s="17">
        <f>SUM(C2:C5)</f>
        <v>288</v>
      </c>
    </row>
    <row r="8" spans="1:5" x14ac:dyDescent="0.2">
      <c r="A8" s="12"/>
      <c r="B8" s="7"/>
      <c r="C8" s="7"/>
    </row>
    <row r="9" spans="1:5" ht="13.5" thickBot="1" x14ac:dyDescent="0.25">
      <c r="A9" s="10"/>
      <c r="B9" s="7"/>
      <c r="C9" s="7"/>
    </row>
    <row r="10" spans="1:5" ht="24" thickTop="1" thickBot="1" x14ac:dyDescent="0.25">
      <c r="A10" s="24" t="s">
        <v>18</v>
      </c>
      <c r="B10" s="26">
        <f>B7-C7</f>
        <v>2</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2</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2</v>
      </c>
    </row>
    <row r="18" spans="1:8" customFormat="1" ht="23.25" x14ac:dyDescent="0.25">
      <c r="A18" s="4" t="s">
        <v>3</v>
      </c>
      <c r="B18" s="6" t="s">
        <v>4</v>
      </c>
      <c r="C18" s="8" t="s">
        <v>6</v>
      </c>
      <c r="D18" s="8" t="s">
        <v>7</v>
      </c>
      <c r="E18" s="8" t="s">
        <v>5</v>
      </c>
      <c r="F18" s="3" t="s">
        <v>10</v>
      </c>
      <c r="G18" s="1" t="s">
        <v>9</v>
      </c>
      <c r="H18" s="2" t="s">
        <v>8</v>
      </c>
    </row>
    <row r="19" spans="1:8" x14ac:dyDescent="0.2">
      <c r="A19" s="5" t="s">
        <v>1331</v>
      </c>
    </row>
    <row r="20" spans="1:8" x14ac:dyDescent="0.2">
      <c r="C20" s="5" t="s">
        <v>1332</v>
      </c>
    </row>
    <row r="21" spans="1:8" x14ac:dyDescent="0.2">
      <c r="C21" s="5" t="s">
        <v>1333</v>
      </c>
    </row>
    <row r="22" spans="1:8" x14ac:dyDescent="0.2">
      <c r="C22" s="5" t="s">
        <v>1334</v>
      </c>
    </row>
    <row r="23" spans="1:8" x14ac:dyDescent="0.2">
      <c r="C23" s="5" t="s">
        <v>1335</v>
      </c>
    </row>
    <row r="24" spans="1:8" x14ac:dyDescent="0.2">
      <c r="C24" s="5" t="s">
        <v>1336</v>
      </c>
    </row>
    <row r="25" spans="1:8" x14ac:dyDescent="0.2">
      <c r="B25" s="5" t="s">
        <v>1337</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1338</v>
      </c>
    </row>
    <row r="32" spans="1:8" x14ac:dyDescent="0.2">
      <c r="D32" s="5" t="s">
        <v>703</v>
      </c>
    </row>
    <row r="33" spans="2:8" x14ac:dyDescent="0.2">
      <c r="D33" s="5" t="s">
        <v>704</v>
      </c>
    </row>
    <row r="34" spans="2:8" x14ac:dyDescent="0.2">
      <c r="D34" s="5" t="s">
        <v>705</v>
      </c>
    </row>
    <row r="35" spans="2:8" x14ac:dyDescent="0.2">
      <c r="D35" s="5" t="s">
        <v>711</v>
      </c>
    </row>
    <row r="36" spans="2:8" x14ac:dyDescent="0.2">
      <c r="D36" s="5" t="s">
        <v>712</v>
      </c>
    </row>
    <row r="37" spans="2:8" x14ac:dyDescent="0.2">
      <c r="B37" s="5" t="s">
        <v>1339</v>
      </c>
    </row>
    <row r="38" spans="2:8" x14ac:dyDescent="0.2">
      <c r="D38" s="5" t="s">
        <v>1340</v>
      </c>
    </row>
    <row r="39" spans="2:8" x14ac:dyDescent="0.2">
      <c r="E39" s="5" t="s">
        <v>1341</v>
      </c>
      <c r="F39" s="5">
        <v>943</v>
      </c>
      <c r="G39" s="5" t="s">
        <v>23</v>
      </c>
      <c r="H39" s="5" t="s">
        <v>1925</v>
      </c>
    </row>
    <row r="40" spans="2:8" x14ac:dyDescent="0.2">
      <c r="D40" s="5" t="s">
        <v>1333</v>
      </c>
    </row>
    <row r="41" spans="2:8" x14ac:dyDescent="0.2">
      <c r="D41" s="5" t="s">
        <v>1342</v>
      </c>
    </row>
    <row r="42" spans="2:8" x14ac:dyDescent="0.2">
      <c r="D42" s="5" t="s">
        <v>1335</v>
      </c>
    </row>
    <row r="43" spans="2:8" x14ac:dyDescent="0.2">
      <c r="E43" s="5" t="s">
        <v>1343</v>
      </c>
      <c r="F43" s="5">
        <v>943</v>
      </c>
      <c r="G43" s="5" t="s">
        <v>23</v>
      </c>
      <c r="H43" s="5" t="s">
        <v>1925</v>
      </c>
    </row>
    <row r="44" spans="2:8" x14ac:dyDescent="0.2">
      <c r="D44" s="5" t="s">
        <v>1336</v>
      </c>
    </row>
    <row r="45" spans="2:8" x14ac:dyDescent="0.2">
      <c r="B45" s="5" t="s">
        <v>1344</v>
      </c>
    </row>
    <row r="46" spans="2:8" x14ac:dyDescent="0.2">
      <c r="D46" s="5" t="s">
        <v>703</v>
      </c>
    </row>
    <row r="47" spans="2:8" x14ac:dyDescent="0.2">
      <c r="D47" s="5" t="s">
        <v>704</v>
      </c>
    </row>
    <row r="48" spans="2:8" x14ac:dyDescent="0.2">
      <c r="D48" s="5" t="s">
        <v>705</v>
      </c>
    </row>
    <row r="49" spans="4:4" x14ac:dyDescent="0.2">
      <c r="D49" s="5" t="s">
        <v>711</v>
      </c>
    </row>
    <row r="50" spans="4:4" x14ac:dyDescent="0.2">
      <c r="D50" s="5" t="s">
        <v>712</v>
      </c>
    </row>
  </sheetData>
  <autoFilter ref="A18:H18"/>
  <conditionalFormatting sqref="C17">
    <cfRule type="cellIs" dxfId="75" priority="1" stopIfTrue="1" operator="equal">
      <formula>$B$10</formula>
    </cfRule>
    <cfRule type="cellIs" dxfId="74"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tabColor indexed="11"/>
  </sheetPr>
  <dimension ref="A1:H48"/>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8</v>
      </c>
      <c r="C2" s="15">
        <f>IF(ISERROR(VALUE(TRIM(CLEAN(MID(C20,FIND("(",C20)+1,FIND("/",C20,1)-FIND("(",C20)-1))))),0,VALUE(TRIM(CLEAN(MID(C20,FIND("(",C20)+1,FIND("/",C20,1)-FIND("(",C20)-1)))))</f>
        <v>8</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12</v>
      </c>
      <c r="C4" s="16">
        <f>IF(ISERROR(VALUE(TRIM(CLEAN(MID(C23,FIND("(",C23)+1,FIND("/",C23,1)-FIND("(",C23)-1))))),0,VALUE(TRIM(CLEAN(MID(C23,FIND("(",C23)+1,FIND("/",C23,1)-FIND("(",C23)-1)))))</f>
        <v>12</v>
      </c>
      <c r="E4" s="29" t="s">
        <v>2</v>
      </c>
    </row>
    <row r="5" spans="1:5" ht="22.5" x14ac:dyDescent="0.2">
      <c r="A5" s="20" t="s">
        <v>17</v>
      </c>
      <c r="B5" s="21">
        <f>IF(ISERROR(VALUE(TRIM(CLEAN(MID(C24,FIND("/",C24)+1,FIND(")",C24,1)-FIND("/",C24)-1))))),0,VALUE(TRIM(CLEAN(MID(C24,FIND("/",C24)+1,FIND(")",C24,1)-FIND("/",C24)-1)))))</f>
        <v>4</v>
      </c>
      <c r="C5" s="16">
        <f>IF(ISERROR(VALUE(TRIM(CLEAN(MID(C24,FIND("(",C24)+1,FIND("/",C24,1)-FIND("(",C24)-1))))),0,VALUE(TRIM(CLEAN(MID(C24,FIND("(",C24)+1,FIND("/",C24,1)-FIND("(",C24)-1)))))</f>
        <v>4</v>
      </c>
    </row>
    <row r="6" spans="1:5" x14ac:dyDescent="0.2">
      <c r="A6" s="20"/>
      <c r="B6" s="21"/>
      <c r="C6" s="16"/>
    </row>
    <row r="7" spans="1:5" ht="13.5" thickBot="1" x14ac:dyDescent="0.25">
      <c r="A7" s="22" t="s">
        <v>13</v>
      </c>
      <c r="B7" s="23">
        <f>SUM(B2:B5)</f>
        <v>24</v>
      </c>
      <c r="C7" s="17">
        <f>SUM(C2:C5)</f>
        <v>24</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1346</v>
      </c>
    </row>
    <row r="20" spans="1:8" x14ac:dyDescent="0.2">
      <c r="C20" s="5" t="s">
        <v>1263</v>
      </c>
    </row>
    <row r="21" spans="1:8" x14ac:dyDescent="0.2">
      <c r="C21" s="5" t="s">
        <v>704</v>
      </c>
    </row>
    <row r="22" spans="1:8" x14ac:dyDescent="0.2">
      <c r="C22" s="5" t="s">
        <v>1264</v>
      </c>
    </row>
    <row r="23" spans="1:8" x14ac:dyDescent="0.2">
      <c r="C23" s="5" t="s">
        <v>794</v>
      </c>
    </row>
    <row r="24" spans="1:8" x14ac:dyDescent="0.2">
      <c r="C24" s="5" t="s">
        <v>744</v>
      </c>
    </row>
    <row r="25" spans="1:8" x14ac:dyDescent="0.2">
      <c r="B25" s="5" t="s">
        <v>1347</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1348</v>
      </c>
    </row>
    <row r="32" spans="1:8" x14ac:dyDescent="0.2">
      <c r="D32" s="5" t="s">
        <v>703</v>
      </c>
    </row>
    <row r="33" spans="2:4" x14ac:dyDescent="0.2">
      <c r="D33" s="5" t="s">
        <v>704</v>
      </c>
    </row>
    <row r="34" spans="2:4" x14ac:dyDescent="0.2">
      <c r="D34" s="5" t="s">
        <v>705</v>
      </c>
    </row>
    <row r="35" spans="2:4" x14ac:dyDescent="0.2">
      <c r="D35" s="5" t="s">
        <v>711</v>
      </c>
    </row>
    <row r="36" spans="2:4" x14ac:dyDescent="0.2">
      <c r="D36" s="5" t="s">
        <v>712</v>
      </c>
    </row>
    <row r="37" spans="2:4" x14ac:dyDescent="0.2">
      <c r="B37" s="5" t="s">
        <v>1349</v>
      </c>
    </row>
    <row r="38" spans="2:4" x14ac:dyDescent="0.2">
      <c r="D38" s="5" t="s">
        <v>864</v>
      </c>
    </row>
    <row r="39" spans="2:4" x14ac:dyDescent="0.2">
      <c r="D39" s="5" t="s">
        <v>704</v>
      </c>
    </row>
    <row r="40" spans="2:4" x14ac:dyDescent="0.2">
      <c r="D40" s="5" t="s">
        <v>865</v>
      </c>
    </row>
    <row r="41" spans="2:4" x14ac:dyDescent="0.2">
      <c r="D41" s="5" t="s">
        <v>794</v>
      </c>
    </row>
    <row r="42" spans="2:4" x14ac:dyDescent="0.2">
      <c r="D42" s="5" t="s">
        <v>744</v>
      </c>
    </row>
    <row r="43" spans="2:4" x14ac:dyDescent="0.2">
      <c r="B43" s="5" t="s">
        <v>1350</v>
      </c>
    </row>
    <row r="44" spans="2:4" x14ac:dyDescent="0.2">
      <c r="D44" s="5" t="s">
        <v>703</v>
      </c>
    </row>
    <row r="45" spans="2:4" x14ac:dyDescent="0.2">
      <c r="D45" s="5" t="s">
        <v>704</v>
      </c>
    </row>
    <row r="46" spans="2:4" x14ac:dyDescent="0.2">
      <c r="D46" s="5" t="s">
        <v>705</v>
      </c>
    </row>
    <row r="47" spans="2:4" x14ac:dyDescent="0.2">
      <c r="D47" s="5" t="s">
        <v>711</v>
      </c>
    </row>
    <row r="48" spans="2:4" x14ac:dyDescent="0.2">
      <c r="D48" s="5" t="s">
        <v>712</v>
      </c>
    </row>
  </sheetData>
  <autoFilter ref="A18:H18"/>
  <conditionalFormatting sqref="C17">
    <cfRule type="cellIs" dxfId="73" priority="1" stopIfTrue="1" operator="equal">
      <formula>$B$10</formula>
    </cfRule>
    <cfRule type="cellIs" dxfId="72"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tabColor indexed="11"/>
  </sheetPr>
  <dimension ref="A1:H48"/>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4</v>
      </c>
      <c r="C2" s="15">
        <f>IF(ISERROR(VALUE(TRIM(CLEAN(MID(C20,FIND("(",C20)+1,FIND("/",C20,1)-FIND("(",C20)-1))))),0,VALUE(TRIM(CLEAN(MID(C20,FIND("(",C20)+1,FIND("/",C20,1)-FIND("(",C20)-1)))))</f>
        <v>4</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24</v>
      </c>
      <c r="C4" s="16">
        <f>IF(ISERROR(VALUE(TRIM(CLEAN(MID(C23,FIND("(",C23)+1,FIND("/",C23,1)-FIND("(",C23)-1))))),0,VALUE(TRIM(CLEAN(MID(C23,FIND("(",C23)+1,FIND("/",C23,1)-FIND("(",C23)-1)))))</f>
        <v>24</v>
      </c>
      <c r="E4" s="29" t="s">
        <v>2</v>
      </c>
    </row>
    <row r="5" spans="1:5" ht="22.5" x14ac:dyDescent="0.2">
      <c r="A5" s="20" t="s">
        <v>17</v>
      </c>
      <c r="B5" s="21">
        <f>IF(ISERROR(VALUE(TRIM(CLEAN(MID(C24,FIND("/",C24)+1,FIND(")",C24,1)-FIND("/",C24)-1))))),0,VALUE(TRIM(CLEAN(MID(C24,FIND("/",C24)+1,FIND(")",C24,1)-FIND("/",C24)-1)))))</f>
        <v>12</v>
      </c>
      <c r="C5" s="16">
        <f>IF(ISERROR(VALUE(TRIM(CLEAN(MID(C24,FIND("(",C24)+1,FIND("/",C24,1)-FIND("(",C24)-1))))),0,VALUE(TRIM(CLEAN(MID(C24,FIND("(",C24)+1,FIND("/",C24,1)-FIND("(",C24)-1)))))</f>
        <v>12</v>
      </c>
    </row>
    <row r="6" spans="1:5" x14ac:dyDescent="0.2">
      <c r="A6" s="20"/>
      <c r="B6" s="21"/>
      <c r="C6" s="16"/>
    </row>
    <row r="7" spans="1:5" ht="13.5" thickBot="1" x14ac:dyDescent="0.25">
      <c r="A7" s="22" t="s">
        <v>13</v>
      </c>
      <c r="B7" s="23">
        <f>SUM(B2:B5)</f>
        <v>40</v>
      </c>
      <c r="C7" s="17">
        <f>SUM(C2:C5)</f>
        <v>40</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1352</v>
      </c>
    </row>
    <row r="20" spans="1:8" x14ac:dyDescent="0.2">
      <c r="C20" s="5" t="s">
        <v>877</v>
      </c>
    </row>
    <row r="21" spans="1:8" x14ac:dyDescent="0.2">
      <c r="C21" s="5" t="s">
        <v>704</v>
      </c>
    </row>
    <row r="22" spans="1:8" x14ac:dyDescent="0.2">
      <c r="C22" s="5" t="s">
        <v>878</v>
      </c>
    </row>
    <row r="23" spans="1:8" x14ac:dyDescent="0.2">
      <c r="C23" s="5" t="s">
        <v>730</v>
      </c>
    </row>
    <row r="24" spans="1:8" x14ac:dyDescent="0.2">
      <c r="C24" s="5" t="s">
        <v>731</v>
      </c>
    </row>
    <row r="25" spans="1:8" x14ac:dyDescent="0.2">
      <c r="B25" s="5" t="s">
        <v>1353</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1354</v>
      </c>
    </row>
    <row r="32" spans="1:8" x14ac:dyDescent="0.2">
      <c r="D32" s="5" t="s">
        <v>703</v>
      </c>
    </row>
    <row r="33" spans="2:4" x14ac:dyDescent="0.2">
      <c r="D33" s="5" t="s">
        <v>704</v>
      </c>
    </row>
    <row r="34" spans="2:4" x14ac:dyDescent="0.2">
      <c r="D34" s="5" t="s">
        <v>705</v>
      </c>
    </row>
    <row r="35" spans="2:4" x14ac:dyDescent="0.2">
      <c r="D35" s="5" t="s">
        <v>711</v>
      </c>
    </row>
    <row r="36" spans="2:4" x14ac:dyDescent="0.2">
      <c r="D36" s="5" t="s">
        <v>712</v>
      </c>
    </row>
    <row r="37" spans="2:4" x14ac:dyDescent="0.2">
      <c r="B37" s="5" t="s">
        <v>1355</v>
      </c>
    </row>
    <row r="38" spans="2:4" x14ac:dyDescent="0.2">
      <c r="D38" s="5" t="s">
        <v>703</v>
      </c>
    </row>
    <row r="39" spans="2:4" x14ac:dyDescent="0.2">
      <c r="D39" s="5" t="s">
        <v>704</v>
      </c>
    </row>
    <row r="40" spans="2:4" x14ac:dyDescent="0.2">
      <c r="D40" s="5" t="s">
        <v>705</v>
      </c>
    </row>
    <row r="41" spans="2:4" x14ac:dyDescent="0.2">
      <c r="D41" s="5" t="s">
        <v>730</v>
      </c>
    </row>
    <row r="42" spans="2:4" x14ac:dyDescent="0.2">
      <c r="D42" s="5" t="s">
        <v>731</v>
      </c>
    </row>
    <row r="43" spans="2:4" x14ac:dyDescent="0.2">
      <c r="B43" s="5" t="s">
        <v>1356</v>
      </c>
    </row>
    <row r="44" spans="2:4" x14ac:dyDescent="0.2">
      <c r="D44" s="5" t="s">
        <v>703</v>
      </c>
    </row>
    <row r="45" spans="2:4" x14ac:dyDescent="0.2">
      <c r="D45" s="5" t="s">
        <v>704</v>
      </c>
    </row>
    <row r="46" spans="2:4" x14ac:dyDescent="0.2">
      <c r="D46" s="5" t="s">
        <v>705</v>
      </c>
    </row>
    <row r="47" spans="2:4" x14ac:dyDescent="0.2">
      <c r="D47" s="5" t="s">
        <v>711</v>
      </c>
    </row>
    <row r="48" spans="2:4" x14ac:dyDescent="0.2">
      <c r="D48" s="5" t="s">
        <v>712</v>
      </c>
    </row>
  </sheetData>
  <autoFilter ref="A18:H18"/>
  <conditionalFormatting sqref="C17">
    <cfRule type="cellIs" dxfId="71" priority="1" stopIfTrue="1" operator="equal">
      <formula>$B$10</formula>
    </cfRule>
    <cfRule type="cellIs" dxfId="70"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tabColor indexed="11"/>
  </sheetPr>
  <dimension ref="A1:H48"/>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4</v>
      </c>
      <c r="C2" s="15">
        <f>IF(ISERROR(VALUE(TRIM(CLEAN(MID(C20,FIND("(",C20)+1,FIND("/",C20,1)-FIND("(",C20)-1))))),0,VALUE(TRIM(CLEAN(MID(C20,FIND("(",C20)+1,FIND("/",C20,1)-FIND("(",C20)-1)))))</f>
        <v>4</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20</v>
      </c>
      <c r="C4" s="16">
        <f>IF(ISERROR(VALUE(TRIM(CLEAN(MID(C23,FIND("(",C23)+1,FIND("/",C23,1)-FIND("(",C23)-1))))),0,VALUE(TRIM(CLEAN(MID(C23,FIND("(",C23)+1,FIND("/",C23,1)-FIND("(",C23)-1)))))</f>
        <v>20</v>
      </c>
      <c r="E4" s="29" t="s">
        <v>2</v>
      </c>
    </row>
    <row r="5" spans="1:5" ht="22.5" x14ac:dyDescent="0.2">
      <c r="A5" s="20" t="s">
        <v>17</v>
      </c>
      <c r="B5" s="21">
        <f>IF(ISERROR(VALUE(TRIM(CLEAN(MID(C24,FIND("/",C24)+1,FIND(")",C24,1)-FIND("/",C24)-1))))),0,VALUE(TRIM(CLEAN(MID(C24,FIND("/",C24)+1,FIND(")",C24,1)-FIND("/",C24)-1)))))</f>
        <v>10</v>
      </c>
      <c r="C5" s="16">
        <f>IF(ISERROR(VALUE(TRIM(CLEAN(MID(C24,FIND("(",C24)+1,FIND("/",C24,1)-FIND("(",C24)-1))))),0,VALUE(TRIM(CLEAN(MID(C24,FIND("(",C24)+1,FIND("/",C24,1)-FIND("(",C24)-1)))))</f>
        <v>10</v>
      </c>
    </row>
    <row r="6" spans="1:5" x14ac:dyDescent="0.2">
      <c r="A6" s="20"/>
      <c r="B6" s="21"/>
      <c r="C6" s="16"/>
    </row>
    <row r="7" spans="1:5" ht="13.5" thickBot="1" x14ac:dyDescent="0.25">
      <c r="A7" s="22" t="s">
        <v>13</v>
      </c>
      <c r="B7" s="23">
        <f>SUM(B2:B5)</f>
        <v>34</v>
      </c>
      <c r="C7" s="17">
        <f>SUM(C2:C5)</f>
        <v>34</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1358</v>
      </c>
    </row>
    <row r="20" spans="1:8" x14ac:dyDescent="0.2">
      <c r="C20" s="5" t="s">
        <v>877</v>
      </c>
    </row>
    <row r="21" spans="1:8" x14ac:dyDescent="0.2">
      <c r="C21" s="5" t="s">
        <v>704</v>
      </c>
    </row>
    <row r="22" spans="1:8" x14ac:dyDescent="0.2">
      <c r="C22" s="5" t="s">
        <v>878</v>
      </c>
    </row>
    <row r="23" spans="1:8" x14ac:dyDescent="0.2">
      <c r="C23" s="5" t="s">
        <v>747</v>
      </c>
    </row>
    <row r="24" spans="1:8" x14ac:dyDescent="0.2">
      <c r="C24" s="5" t="s">
        <v>748</v>
      </c>
    </row>
    <row r="25" spans="1:8" x14ac:dyDescent="0.2">
      <c r="B25" s="5" t="s">
        <v>1359</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1360</v>
      </c>
    </row>
    <row r="32" spans="1:8" x14ac:dyDescent="0.2">
      <c r="D32" s="5" t="s">
        <v>703</v>
      </c>
    </row>
    <row r="33" spans="2:4" x14ac:dyDescent="0.2">
      <c r="D33" s="5" t="s">
        <v>704</v>
      </c>
    </row>
    <row r="34" spans="2:4" x14ac:dyDescent="0.2">
      <c r="D34" s="5" t="s">
        <v>705</v>
      </c>
    </row>
    <row r="35" spans="2:4" x14ac:dyDescent="0.2">
      <c r="D35" s="5" t="s">
        <v>711</v>
      </c>
    </row>
    <row r="36" spans="2:4" x14ac:dyDescent="0.2">
      <c r="D36" s="5" t="s">
        <v>712</v>
      </c>
    </row>
    <row r="37" spans="2:4" x14ac:dyDescent="0.2">
      <c r="B37" s="5" t="s">
        <v>1361</v>
      </c>
    </row>
    <row r="38" spans="2:4" x14ac:dyDescent="0.2">
      <c r="D38" s="5" t="s">
        <v>703</v>
      </c>
    </row>
    <row r="39" spans="2:4" x14ac:dyDescent="0.2">
      <c r="D39" s="5" t="s">
        <v>704</v>
      </c>
    </row>
    <row r="40" spans="2:4" x14ac:dyDescent="0.2">
      <c r="D40" s="5" t="s">
        <v>705</v>
      </c>
    </row>
    <row r="41" spans="2:4" x14ac:dyDescent="0.2">
      <c r="D41" s="5" t="s">
        <v>747</v>
      </c>
    </row>
    <row r="42" spans="2:4" x14ac:dyDescent="0.2">
      <c r="D42" s="5" t="s">
        <v>748</v>
      </c>
    </row>
    <row r="43" spans="2:4" x14ac:dyDescent="0.2">
      <c r="B43" s="5" t="s">
        <v>1362</v>
      </c>
    </row>
    <row r="44" spans="2:4" x14ac:dyDescent="0.2">
      <c r="D44" s="5" t="s">
        <v>703</v>
      </c>
    </row>
    <row r="45" spans="2:4" x14ac:dyDescent="0.2">
      <c r="D45" s="5" t="s">
        <v>704</v>
      </c>
    </row>
    <row r="46" spans="2:4" x14ac:dyDescent="0.2">
      <c r="D46" s="5" t="s">
        <v>705</v>
      </c>
    </row>
    <row r="47" spans="2:4" x14ac:dyDescent="0.2">
      <c r="D47" s="5" t="s">
        <v>711</v>
      </c>
    </row>
    <row r="48" spans="2:4" x14ac:dyDescent="0.2">
      <c r="D48" s="5" t="s">
        <v>712</v>
      </c>
    </row>
  </sheetData>
  <autoFilter ref="A18:H18"/>
  <conditionalFormatting sqref="C17">
    <cfRule type="cellIs" dxfId="69" priority="1" stopIfTrue="1" operator="equal">
      <formula>$B$10</formula>
    </cfRule>
    <cfRule type="cellIs" dxfId="68"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2</v>
      </c>
      <c r="C2" s="15">
        <f>IF(ISERROR(VALUE(TRIM(CLEAN(MID(C20,FIND("(",C20)+1,FIND("/",C20,1)-FIND("(",C20)-1))))),0,VALUE(TRIM(CLEAN(MID(C20,FIND("(",C20)+1,FIND("/",C20,1)-FIND("(",C20)-1)))))</f>
        <v>2</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8</v>
      </c>
      <c r="C4" s="16">
        <f>IF(ISERROR(VALUE(TRIM(CLEAN(MID(C23,FIND("(",C23)+1,FIND("/",C23,1)-FIND("(",C23)-1))))),0,VALUE(TRIM(CLEAN(MID(C23,FIND("(",C23)+1,FIND("/",C23,1)-FIND("(",C23)-1)))))</f>
        <v>8</v>
      </c>
      <c r="E4" s="29" t="s">
        <v>2</v>
      </c>
    </row>
    <row r="5" spans="1:5" ht="22.5" x14ac:dyDescent="0.2">
      <c r="A5" s="20" t="s">
        <v>17</v>
      </c>
      <c r="B5" s="21">
        <f>IF(ISERROR(VALUE(TRIM(CLEAN(MID(C24,FIND("/",C24)+1,FIND(")",C24,1)-FIND("/",C24)-1))))),0,VALUE(TRIM(CLEAN(MID(C24,FIND("/",C24)+1,FIND(")",C24,1)-FIND("/",C24)-1)))))</f>
        <v>4</v>
      </c>
      <c r="C5" s="16">
        <f>IF(ISERROR(VALUE(TRIM(CLEAN(MID(C24,FIND("(",C24)+1,FIND("/",C24,1)-FIND("(",C24)-1))))),0,VALUE(TRIM(CLEAN(MID(C24,FIND("(",C24)+1,FIND("/",C24,1)-FIND("(",C24)-1)))))</f>
        <v>4</v>
      </c>
    </row>
    <row r="6" spans="1:5" x14ac:dyDescent="0.2">
      <c r="A6" s="20"/>
      <c r="B6" s="21"/>
      <c r="C6" s="16"/>
    </row>
    <row r="7" spans="1:5" ht="13.5" thickBot="1" x14ac:dyDescent="0.25">
      <c r="A7" s="22" t="s">
        <v>13</v>
      </c>
      <c r="B7" s="23">
        <f>SUM(B2:B5)</f>
        <v>14</v>
      </c>
      <c r="C7" s="17">
        <f>SUM(C2:C5)</f>
        <v>14</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1364</v>
      </c>
    </row>
    <row r="20" spans="1:8" x14ac:dyDescent="0.2">
      <c r="C20" s="5" t="s">
        <v>1000</v>
      </c>
    </row>
    <row r="21" spans="1:8" x14ac:dyDescent="0.2">
      <c r="C21" s="5" t="s">
        <v>704</v>
      </c>
    </row>
    <row r="22" spans="1:8" x14ac:dyDescent="0.2">
      <c r="C22" s="5" t="s">
        <v>1001</v>
      </c>
    </row>
    <row r="23" spans="1:8" x14ac:dyDescent="0.2">
      <c r="C23" s="5" t="s">
        <v>743</v>
      </c>
    </row>
    <row r="24" spans="1:8" x14ac:dyDescent="0.2">
      <c r="C24" s="5" t="s">
        <v>744</v>
      </c>
    </row>
    <row r="25" spans="1:8" x14ac:dyDescent="0.2">
      <c r="B25" s="5" t="s">
        <v>1365</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1366</v>
      </c>
    </row>
    <row r="32" spans="1:8" x14ac:dyDescent="0.2">
      <c r="D32" s="5" t="s">
        <v>703</v>
      </c>
    </row>
    <row r="33" spans="4:4" x14ac:dyDescent="0.2">
      <c r="D33" s="5" t="s">
        <v>704</v>
      </c>
    </row>
    <row r="34" spans="4:4" x14ac:dyDescent="0.2">
      <c r="D34" s="5" t="s">
        <v>705</v>
      </c>
    </row>
    <row r="35" spans="4:4" x14ac:dyDescent="0.2">
      <c r="D35" s="5" t="s">
        <v>743</v>
      </c>
    </row>
    <row r="36" spans="4:4" x14ac:dyDescent="0.2">
      <c r="D36" s="5" t="s">
        <v>744</v>
      </c>
    </row>
  </sheetData>
  <autoFilter ref="A18:H18"/>
  <conditionalFormatting sqref="C17">
    <cfRule type="cellIs" dxfId="67" priority="1" stopIfTrue="1" operator="equal">
      <formula>$B$10</formula>
    </cfRule>
    <cfRule type="cellIs" dxfId="66"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tabColor indexed="11"/>
  </sheetPr>
  <dimension ref="A1:H60"/>
  <sheetViews>
    <sheetView topLeftCell="A13" workbookViewId="0">
      <selection activeCell="E23" sqref="E23"/>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73</v>
      </c>
      <c r="C2" s="15">
        <f>IF(ISERROR(VALUE(TRIM(CLEAN(MID(C20,FIND("(",C20)+1,FIND("/",C20,1)-FIND("(",C20)-1))))),0,VALUE(TRIM(CLEAN(MID(C20,FIND("(",C20)+1,FIND("/",C20,1)-FIND("(",C20)-1)))))</f>
        <v>71</v>
      </c>
    </row>
    <row r="3" spans="1:5" ht="22.5" x14ac:dyDescent="0.2">
      <c r="A3" s="20" t="s">
        <v>15</v>
      </c>
      <c r="B3" s="21">
        <f>IF(ISERROR(VALUE(TRIM(CLEAN(MID(C21,FIND("/",C21)+1,FIND(")",C21,1)-FIND("/",C21)-1))))),0,VALUE(TRIM(CLEAN(MID(C21,FIND("/",C21)+1,FIND(")",C21,1)-FIND("/",C21)-1)))))</f>
        <v>9</v>
      </c>
      <c r="C3" s="16">
        <f>IF(ISERROR(VALUE(TRIM(CLEAN(MID(C21,FIND("(",C21)+1,FIND("/",C21,1)-FIND("(",C21)-1))))),0,VALUE(TRIM(CLEAN(MID(C21,FIND("(",C21)+1,FIND("/",C21,1)-FIND("(",C21)-1)))))</f>
        <v>9</v>
      </c>
      <c r="E3" s="29" t="s">
        <v>1</v>
      </c>
    </row>
    <row r="4" spans="1:5" ht="22.5" x14ac:dyDescent="0.2">
      <c r="A4" s="20" t="s">
        <v>16</v>
      </c>
      <c r="B4" s="21">
        <f>IF(ISERROR(VALUE(TRIM(CLEAN(MID(C23,FIND("/",C23)+1,FIND(")",C23,1)-FIND("/",C23)-1))))),0,VALUE(TRIM(CLEAN(MID(C23,FIND("/",C23)+1,FIND(")",C23,1)-FIND("/",C23)-1)))))</f>
        <v>109</v>
      </c>
      <c r="C4" s="16">
        <f>IF(ISERROR(VALUE(TRIM(CLEAN(MID(C23,FIND("(",C23)+1,FIND("/",C23,1)-FIND("(",C23)-1))))),0,VALUE(TRIM(CLEAN(MID(C23,FIND("(",C23)+1,FIND("/",C23,1)-FIND("(",C23)-1)))))</f>
        <v>100</v>
      </c>
      <c r="E4" s="29" t="s">
        <v>2</v>
      </c>
    </row>
    <row r="5" spans="1:5" ht="22.5" x14ac:dyDescent="0.2">
      <c r="A5" s="20" t="s">
        <v>17</v>
      </c>
      <c r="B5" s="21">
        <f>IF(ISERROR(VALUE(TRIM(CLEAN(MID(C24,FIND("/",C24)+1,FIND(")",C24,1)-FIND("/",C24)-1))))),0,VALUE(TRIM(CLEAN(MID(C24,FIND("/",C24)+1,FIND(")",C24,1)-FIND("/",C24)-1)))))</f>
        <v>26</v>
      </c>
      <c r="C5" s="16">
        <f>IF(ISERROR(VALUE(TRIM(CLEAN(MID(C24,FIND("(",C24)+1,FIND("/",C24,1)-FIND("(",C24)-1))))),0,VALUE(TRIM(CLEAN(MID(C24,FIND("(",C24)+1,FIND("/",C24,1)-FIND("(",C24)-1)))))</f>
        <v>19</v>
      </c>
    </row>
    <row r="6" spans="1:5" x14ac:dyDescent="0.2">
      <c r="A6" s="20"/>
      <c r="B6" s="21"/>
      <c r="C6" s="16"/>
    </row>
    <row r="7" spans="1:5" ht="13.5" thickBot="1" x14ac:dyDescent="0.25">
      <c r="A7" s="22" t="s">
        <v>13</v>
      </c>
      <c r="B7" s="23">
        <f>SUM(B2:B5)</f>
        <v>217</v>
      </c>
      <c r="C7" s="17">
        <f>SUM(C2:C5)</f>
        <v>199</v>
      </c>
    </row>
    <row r="8" spans="1:5" x14ac:dyDescent="0.2">
      <c r="A8" s="12"/>
      <c r="B8" s="7"/>
      <c r="C8" s="7"/>
    </row>
    <row r="9" spans="1:5" ht="13.5" thickBot="1" x14ac:dyDescent="0.25">
      <c r="A9" s="10"/>
      <c r="B9" s="7"/>
      <c r="C9" s="7"/>
    </row>
    <row r="10" spans="1:5" ht="24" thickTop="1" thickBot="1" x14ac:dyDescent="0.25">
      <c r="A10" s="24" t="s">
        <v>18</v>
      </c>
      <c r="B10" s="26">
        <f>B7-C7</f>
        <v>18</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3</v>
      </c>
    </row>
    <row r="14" spans="1:5" ht="23.25" thickBot="1" x14ac:dyDescent="0.25">
      <c r="A14" s="25" t="s">
        <v>24</v>
      </c>
      <c r="B14" s="28"/>
      <c r="C14" s="28">
        <f t="shared" si="0"/>
        <v>0</v>
      </c>
    </row>
    <row r="15" spans="1:5" ht="13.5" thickBot="1" x14ac:dyDescent="0.25">
      <c r="A15" s="25" t="s">
        <v>19</v>
      </c>
      <c r="B15" s="28"/>
      <c r="C15" s="28">
        <f t="shared" si="0"/>
        <v>15</v>
      </c>
    </row>
    <row r="16" spans="1:5" ht="23.25" thickBot="1" x14ac:dyDescent="0.25">
      <c r="A16" s="25" t="s">
        <v>20</v>
      </c>
      <c r="B16" s="28"/>
      <c r="C16" s="28">
        <f t="shared" si="0"/>
        <v>0</v>
      </c>
    </row>
    <row r="17" spans="1:8" x14ac:dyDescent="0.2">
      <c r="C17" s="5">
        <f>SUM(C11:C16)</f>
        <v>18</v>
      </c>
    </row>
    <row r="18" spans="1:8" customFormat="1" ht="23.25" x14ac:dyDescent="0.25">
      <c r="A18" s="4" t="s">
        <v>3</v>
      </c>
      <c r="B18" s="6" t="s">
        <v>4</v>
      </c>
      <c r="C18" s="8" t="s">
        <v>6</v>
      </c>
      <c r="D18" s="8" t="s">
        <v>7</v>
      </c>
      <c r="E18" s="8" t="s">
        <v>5</v>
      </c>
      <c r="F18" s="3" t="s">
        <v>10</v>
      </c>
      <c r="G18" s="1" t="s">
        <v>9</v>
      </c>
      <c r="H18" s="2" t="s">
        <v>8</v>
      </c>
    </row>
    <row r="19" spans="1:8" x14ac:dyDescent="0.2">
      <c r="A19" s="5" t="s">
        <v>1368</v>
      </c>
    </row>
    <row r="20" spans="1:8" x14ac:dyDescent="0.2">
      <c r="C20" s="5" t="s">
        <v>1369</v>
      </c>
    </row>
    <row r="21" spans="1:8" x14ac:dyDescent="0.2">
      <c r="C21" s="5" t="s">
        <v>1276</v>
      </c>
    </row>
    <row r="22" spans="1:8" x14ac:dyDescent="0.2">
      <c r="C22" s="5" t="s">
        <v>1370</v>
      </c>
    </row>
    <row r="23" spans="1:8" x14ac:dyDescent="0.2">
      <c r="C23" s="5" t="s">
        <v>1371</v>
      </c>
    </row>
    <row r="24" spans="1:8" x14ac:dyDescent="0.2">
      <c r="C24" s="5" t="s">
        <v>1372</v>
      </c>
    </row>
    <row r="25" spans="1:8" x14ac:dyDescent="0.2">
      <c r="B25" s="5" t="s">
        <v>1373</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1374</v>
      </c>
    </row>
    <row r="32" spans="1:8" x14ac:dyDescent="0.2">
      <c r="D32" s="5" t="s">
        <v>703</v>
      </c>
    </row>
    <row r="33" spans="2:8" x14ac:dyDescent="0.2">
      <c r="D33" s="5" t="s">
        <v>704</v>
      </c>
    </row>
    <row r="34" spans="2:8" x14ac:dyDescent="0.2">
      <c r="D34" s="5" t="s">
        <v>705</v>
      </c>
    </row>
    <row r="35" spans="2:8" x14ac:dyDescent="0.2">
      <c r="D35" s="5" t="s">
        <v>711</v>
      </c>
    </row>
    <row r="36" spans="2:8" x14ac:dyDescent="0.2">
      <c r="D36" s="5" t="s">
        <v>712</v>
      </c>
    </row>
    <row r="37" spans="2:8" x14ac:dyDescent="0.2">
      <c r="B37" s="5" t="s">
        <v>1375</v>
      </c>
    </row>
    <row r="38" spans="2:8" x14ac:dyDescent="0.2">
      <c r="D38" s="5" t="s">
        <v>1376</v>
      </c>
    </row>
    <row r="39" spans="2:8" x14ac:dyDescent="0.2">
      <c r="E39" s="5" t="s">
        <v>1377</v>
      </c>
      <c r="F39" s="5">
        <v>435</v>
      </c>
      <c r="G39" s="5" t="s">
        <v>23</v>
      </c>
      <c r="H39" s="5" t="s">
        <v>1925</v>
      </c>
    </row>
    <row r="40" spans="2:8" x14ac:dyDescent="0.2">
      <c r="E40" s="5" t="s">
        <v>1378</v>
      </c>
      <c r="F40" s="5">
        <v>715</v>
      </c>
      <c r="G40" s="5" t="s">
        <v>23</v>
      </c>
      <c r="H40" s="5" t="s">
        <v>1925</v>
      </c>
    </row>
    <row r="41" spans="2:8" x14ac:dyDescent="0.2">
      <c r="D41" s="5" t="s">
        <v>1276</v>
      </c>
    </row>
    <row r="42" spans="2:8" x14ac:dyDescent="0.2">
      <c r="D42" s="5" t="s">
        <v>1379</v>
      </c>
    </row>
    <row r="43" spans="2:8" x14ac:dyDescent="0.2">
      <c r="D43" s="5" t="s">
        <v>1371</v>
      </c>
    </row>
    <row r="44" spans="2:8" x14ac:dyDescent="0.2">
      <c r="E44" s="5" t="s">
        <v>1380</v>
      </c>
      <c r="F44" s="5">
        <v>299</v>
      </c>
      <c r="G44" s="5" t="s">
        <v>19</v>
      </c>
      <c r="H44" s="5" t="s">
        <v>1926</v>
      </c>
    </row>
    <row r="45" spans="2:8" x14ac:dyDescent="0.2">
      <c r="E45" s="5" t="s">
        <v>1381</v>
      </c>
      <c r="F45" s="5">
        <v>312</v>
      </c>
      <c r="G45" s="5" t="s">
        <v>19</v>
      </c>
      <c r="H45" s="5" t="s">
        <v>1926</v>
      </c>
    </row>
    <row r="46" spans="2:8" x14ac:dyDescent="0.2">
      <c r="E46" s="5" t="s">
        <v>1382</v>
      </c>
      <c r="F46" s="5">
        <v>345</v>
      </c>
      <c r="G46" s="5" t="s">
        <v>19</v>
      </c>
      <c r="H46" s="5" t="s">
        <v>1926</v>
      </c>
    </row>
    <row r="47" spans="2:8" x14ac:dyDescent="0.2">
      <c r="E47" s="5" t="s">
        <v>1382</v>
      </c>
      <c r="F47" s="5">
        <v>345</v>
      </c>
      <c r="G47" s="5" t="s">
        <v>19</v>
      </c>
      <c r="H47" s="5" t="s">
        <v>1926</v>
      </c>
    </row>
    <row r="48" spans="2:8" x14ac:dyDescent="0.2">
      <c r="E48" s="5" t="s">
        <v>1383</v>
      </c>
      <c r="F48" s="5">
        <v>372</v>
      </c>
      <c r="G48" s="5" t="s">
        <v>19</v>
      </c>
      <c r="H48" s="5" t="s">
        <v>1926</v>
      </c>
    </row>
    <row r="49" spans="4:8" x14ac:dyDescent="0.2">
      <c r="E49" s="5" t="s">
        <v>1384</v>
      </c>
      <c r="F49" s="5">
        <v>435</v>
      </c>
      <c r="G49" s="5" t="s">
        <v>19</v>
      </c>
      <c r="H49" s="5" t="s">
        <v>1926</v>
      </c>
    </row>
    <row r="50" spans="4:8" x14ac:dyDescent="0.2">
      <c r="E50" s="5" t="s">
        <v>1385</v>
      </c>
      <c r="F50" s="5">
        <v>493</v>
      </c>
      <c r="G50" s="5" t="s">
        <v>19</v>
      </c>
      <c r="H50" s="5" t="s">
        <v>1926</v>
      </c>
    </row>
    <row r="51" spans="4:8" x14ac:dyDescent="0.2">
      <c r="E51" s="5" t="s">
        <v>1386</v>
      </c>
      <c r="F51" s="5">
        <v>596</v>
      </c>
      <c r="G51" s="5" t="s">
        <v>19</v>
      </c>
      <c r="H51" s="5" t="s">
        <v>1926</v>
      </c>
    </row>
    <row r="52" spans="4:8" x14ac:dyDescent="0.2">
      <c r="E52" s="5" t="s">
        <v>1387</v>
      </c>
      <c r="F52" s="5">
        <v>715</v>
      </c>
      <c r="G52" s="5" t="s">
        <v>23</v>
      </c>
      <c r="H52" s="5" t="s">
        <v>1925</v>
      </c>
    </row>
    <row r="53" spans="4:8" x14ac:dyDescent="0.2">
      <c r="D53" s="5" t="s">
        <v>1372</v>
      </c>
    </row>
    <row r="54" spans="4:8" x14ac:dyDescent="0.2">
      <c r="E54" s="5" t="s">
        <v>1388</v>
      </c>
      <c r="F54" s="5">
        <v>299</v>
      </c>
      <c r="G54" s="5" t="s">
        <v>19</v>
      </c>
      <c r="H54" s="5" t="s">
        <v>1926</v>
      </c>
    </row>
    <row r="55" spans="4:8" x14ac:dyDescent="0.2">
      <c r="E55" s="5" t="s">
        <v>1389</v>
      </c>
      <c r="F55" s="5">
        <v>312</v>
      </c>
      <c r="G55" s="5" t="s">
        <v>19</v>
      </c>
      <c r="H55" s="5" t="s">
        <v>1926</v>
      </c>
    </row>
    <row r="56" spans="4:8" x14ac:dyDescent="0.2">
      <c r="E56" s="5" t="s">
        <v>1390</v>
      </c>
      <c r="F56" s="5">
        <v>345</v>
      </c>
      <c r="G56" s="5" t="s">
        <v>19</v>
      </c>
      <c r="H56" s="5" t="s">
        <v>1926</v>
      </c>
    </row>
    <row r="57" spans="4:8" x14ac:dyDescent="0.2">
      <c r="E57" s="5" t="s">
        <v>1391</v>
      </c>
      <c r="F57" s="5">
        <v>345</v>
      </c>
      <c r="G57" s="5" t="s">
        <v>19</v>
      </c>
      <c r="H57" s="5" t="s">
        <v>1926</v>
      </c>
    </row>
    <row r="58" spans="4:8" x14ac:dyDescent="0.2">
      <c r="E58" s="5" t="s">
        <v>1392</v>
      </c>
      <c r="F58" s="5">
        <v>372</v>
      </c>
      <c r="G58" s="5" t="s">
        <v>19</v>
      </c>
      <c r="H58" s="5" t="s">
        <v>1926</v>
      </c>
    </row>
    <row r="59" spans="4:8" x14ac:dyDescent="0.2">
      <c r="E59" s="5" t="s">
        <v>1393</v>
      </c>
      <c r="F59" s="5">
        <v>493</v>
      </c>
      <c r="G59" s="5" t="s">
        <v>19</v>
      </c>
      <c r="H59" s="5" t="s">
        <v>1926</v>
      </c>
    </row>
    <row r="60" spans="4:8" x14ac:dyDescent="0.2">
      <c r="E60" s="5" t="s">
        <v>1394</v>
      </c>
      <c r="F60" s="5">
        <v>596</v>
      </c>
      <c r="G60" s="5" t="s">
        <v>19</v>
      </c>
      <c r="H60" s="5" t="s">
        <v>1926</v>
      </c>
    </row>
  </sheetData>
  <autoFilter ref="A18:H18"/>
  <conditionalFormatting sqref="C17">
    <cfRule type="cellIs" dxfId="65" priority="1" stopIfTrue="1" operator="equal">
      <formula>$B$10</formula>
    </cfRule>
    <cfRule type="cellIs" dxfId="64"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tabColor indexed="11"/>
  </sheetPr>
  <dimension ref="A1:H58"/>
  <sheetViews>
    <sheetView topLeftCell="A13" workbookViewId="0">
      <selection activeCell="E65" sqref="E65"/>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21</v>
      </c>
      <c r="C2" s="15">
        <f>IF(ISERROR(VALUE(TRIM(CLEAN(MID(C20,FIND("(",C20)+1,FIND("/",C20,1)-FIND("(",C20)-1))))),0,VALUE(TRIM(CLEAN(MID(C20,FIND("(",C20)+1,FIND("/",C20,1)-FIND("(",C20)-1)))))</f>
        <v>19</v>
      </c>
    </row>
    <row r="3" spans="1:5" ht="22.5" x14ac:dyDescent="0.2">
      <c r="A3" s="20" t="s">
        <v>15</v>
      </c>
      <c r="B3" s="21">
        <f>IF(ISERROR(VALUE(TRIM(CLEAN(MID(C21,FIND("/",C21)+1,FIND(")",C21,1)-FIND("/",C21)-1))))),0,VALUE(TRIM(CLEAN(MID(C21,FIND("/",C21)+1,FIND(")",C21,1)-FIND("/",C21)-1)))))</f>
        <v>2</v>
      </c>
      <c r="C3" s="16">
        <f>IF(ISERROR(VALUE(TRIM(CLEAN(MID(C21,FIND("(",C21)+1,FIND("/",C21,1)-FIND("(",C21)-1))))),0,VALUE(TRIM(CLEAN(MID(C21,FIND("(",C21)+1,FIND("/",C21,1)-FIND("(",C21)-1)))))</f>
        <v>2</v>
      </c>
      <c r="E3" s="29" t="s">
        <v>1</v>
      </c>
    </row>
    <row r="4" spans="1:5" ht="22.5" x14ac:dyDescent="0.2">
      <c r="A4" s="20" t="s">
        <v>16</v>
      </c>
      <c r="B4" s="21">
        <f>IF(ISERROR(VALUE(TRIM(CLEAN(MID(C23,FIND("/",C23)+1,FIND(")",C23,1)-FIND("/",C23)-1))))),0,VALUE(TRIM(CLEAN(MID(C23,FIND("/",C23)+1,FIND(")",C23,1)-FIND("/",C23)-1)))))</f>
        <v>38</v>
      </c>
      <c r="C4" s="16">
        <f>IF(ISERROR(VALUE(TRIM(CLEAN(MID(C23,FIND("(",C23)+1,FIND("/",C23,1)-FIND("(",C23)-1))))),0,VALUE(TRIM(CLEAN(MID(C23,FIND("(",C23)+1,FIND("/",C23,1)-FIND("(",C23)-1)))))</f>
        <v>36</v>
      </c>
      <c r="E4" s="29" t="s">
        <v>2</v>
      </c>
    </row>
    <row r="5" spans="1:5" ht="22.5" x14ac:dyDescent="0.2">
      <c r="A5" s="20" t="s">
        <v>17</v>
      </c>
      <c r="B5" s="21">
        <f>IF(ISERROR(VALUE(TRIM(CLEAN(MID(C24,FIND("/",C24)+1,FIND(")",C24,1)-FIND("/",C24)-1))))),0,VALUE(TRIM(CLEAN(MID(C24,FIND("/",C24)+1,FIND(")",C24,1)-FIND("/",C24)-1)))))</f>
        <v>10</v>
      </c>
      <c r="C5" s="16">
        <f>IF(ISERROR(VALUE(TRIM(CLEAN(MID(C24,FIND("(",C24)+1,FIND("/",C24,1)-FIND("(",C24)-1))))),0,VALUE(TRIM(CLEAN(MID(C24,FIND("(",C24)+1,FIND("/",C24,1)-FIND("(",C24)-1)))))</f>
        <v>10</v>
      </c>
    </row>
    <row r="6" spans="1:5" x14ac:dyDescent="0.2">
      <c r="A6" s="20"/>
      <c r="B6" s="21"/>
      <c r="C6" s="16"/>
    </row>
    <row r="7" spans="1:5" ht="13.5" thickBot="1" x14ac:dyDescent="0.25">
      <c r="A7" s="22" t="s">
        <v>13</v>
      </c>
      <c r="B7" s="23">
        <f>SUM(B2:B5)</f>
        <v>71</v>
      </c>
      <c r="C7" s="17">
        <f>SUM(C2:C5)</f>
        <v>67</v>
      </c>
    </row>
    <row r="8" spans="1:5" x14ac:dyDescent="0.2">
      <c r="A8" s="12"/>
      <c r="B8" s="7"/>
      <c r="C8" s="7"/>
    </row>
    <row r="9" spans="1:5" ht="13.5" thickBot="1" x14ac:dyDescent="0.25">
      <c r="A9" s="10"/>
      <c r="B9" s="7"/>
      <c r="C9" s="7"/>
    </row>
    <row r="10" spans="1:5" ht="24" thickTop="1" thickBot="1" x14ac:dyDescent="0.25">
      <c r="A10" s="24" t="s">
        <v>18</v>
      </c>
      <c r="B10" s="26">
        <f>B7-C7</f>
        <v>4</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4</v>
      </c>
    </row>
    <row r="16" spans="1:5" ht="23.25" thickBot="1" x14ac:dyDescent="0.25">
      <c r="A16" s="25" t="s">
        <v>20</v>
      </c>
      <c r="B16" s="28"/>
      <c r="C16" s="28">
        <f t="shared" si="0"/>
        <v>0</v>
      </c>
    </row>
    <row r="17" spans="1:8" x14ac:dyDescent="0.2">
      <c r="C17" s="5">
        <f>SUM(C11:C16)</f>
        <v>4</v>
      </c>
    </row>
    <row r="18" spans="1:8" customFormat="1" ht="23.25" x14ac:dyDescent="0.25">
      <c r="A18" s="4" t="s">
        <v>3</v>
      </c>
      <c r="B18" s="6" t="s">
        <v>4</v>
      </c>
      <c r="C18" s="8" t="s">
        <v>6</v>
      </c>
      <c r="D18" s="8" t="s">
        <v>7</v>
      </c>
      <c r="E18" s="8" t="s">
        <v>5</v>
      </c>
      <c r="F18" s="3" t="s">
        <v>10</v>
      </c>
      <c r="G18" s="1" t="s">
        <v>9</v>
      </c>
      <c r="H18" s="2" t="s">
        <v>8</v>
      </c>
    </row>
    <row r="19" spans="1:8" x14ac:dyDescent="0.2">
      <c r="A19" s="5" t="s">
        <v>1396</v>
      </c>
    </row>
    <row r="20" spans="1:8" x14ac:dyDescent="0.2">
      <c r="C20" s="5" t="s">
        <v>1397</v>
      </c>
    </row>
    <row r="21" spans="1:8" x14ac:dyDescent="0.2">
      <c r="C21" s="5" t="s">
        <v>834</v>
      </c>
    </row>
    <row r="22" spans="1:8" x14ac:dyDescent="0.2">
      <c r="C22" s="5" t="s">
        <v>1398</v>
      </c>
    </row>
    <row r="23" spans="1:8" x14ac:dyDescent="0.2">
      <c r="C23" s="5" t="s">
        <v>1399</v>
      </c>
    </row>
    <row r="24" spans="1:8" x14ac:dyDescent="0.2">
      <c r="C24" s="5" t="s">
        <v>748</v>
      </c>
    </row>
    <row r="25" spans="1:8" x14ac:dyDescent="0.2">
      <c r="B25" s="5" t="s">
        <v>1400</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1401</v>
      </c>
    </row>
    <row r="32" spans="1:8" x14ac:dyDescent="0.2">
      <c r="D32" s="5" t="s">
        <v>703</v>
      </c>
    </row>
    <row r="33" spans="2:8" x14ac:dyDescent="0.2">
      <c r="D33" s="5" t="s">
        <v>704</v>
      </c>
    </row>
    <row r="34" spans="2:8" x14ac:dyDescent="0.2">
      <c r="D34" s="5" t="s">
        <v>705</v>
      </c>
    </row>
    <row r="35" spans="2:8" x14ac:dyDescent="0.2">
      <c r="D35" s="5" t="s">
        <v>711</v>
      </c>
    </row>
    <row r="36" spans="2:8" x14ac:dyDescent="0.2">
      <c r="D36" s="5" t="s">
        <v>712</v>
      </c>
    </row>
    <row r="37" spans="2:8" x14ac:dyDescent="0.2">
      <c r="B37" s="5" t="s">
        <v>1402</v>
      </c>
    </row>
    <row r="38" spans="2:8" x14ac:dyDescent="0.2">
      <c r="D38" s="5" t="s">
        <v>703</v>
      </c>
    </row>
    <row r="39" spans="2:8" x14ac:dyDescent="0.2">
      <c r="D39" s="5" t="s">
        <v>704</v>
      </c>
    </row>
    <row r="40" spans="2:8" x14ac:dyDescent="0.2">
      <c r="D40" s="5" t="s">
        <v>705</v>
      </c>
    </row>
    <row r="41" spans="2:8" x14ac:dyDescent="0.2">
      <c r="D41" s="5" t="s">
        <v>711</v>
      </c>
    </row>
    <row r="42" spans="2:8" x14ac:dyDescent="0.2">
      <c r="D42" s="5" t="s">
        <v>712</v>
      </c>
    </row>
    <row r="43" spans="2:8" x14ac:dyDescent="0.2">
      <c r="B43" s="5" t="s">
        <v>1403</v>
      </c>
    </row>
    <row r="44" spans="2:8" x14ac:dyDescent="0.2">
      <c r="D44" s="5" t="s">
        <v>1096</v>
      </c>
    </row>
    <row r="45" spans="2:8" x14ac:dyDescent="0.2">
      <c r="E45" s="5" t="s">
        <v>1404</v>
      </c>
      <c r="F45" s="5">
        <v>380</v>
      </c>
      <c r="G45" s="5" t="s">
        <v>19</v>
      </c>
      <c r="H45" s="5" t="s">
        <v>1925</v>
      </c>
    </row>
    <row r="46" spans="2:8" x14ac:dyDescent="0.2">
      <c r="E46" s="5" t="s">
        <v>1405</v>
      </c>
      <c r="F46" s="5">
        <v>455</v>
      </c>
      <c r="G46" s="5" t="s">
        <v>19</v>
      </c>
      <c r="H46" s="5" t="s">
        <v>1925</v>
      </c>
    </row>
    <row r="47" spans="2:8" x14ac:dyDescent="0.2">
      <c r="D47" s="5" t="s">
        <v>834</v>
      </c>
    </row>
    <row r="48" spans="2:8" x14ac:dyDescent="0.2">
      <c r="D48" s="5" t="s">
        <v>1406</v>
      </c>
    </row>
    <row r="49" spans="2:8" x14ac:dyDescent="0.2">
      <c r="D49" s="5" t="s">
        <v>1399</v>
      </c>
    </row>
    <row r="50" spans="2:8" x14ac:dyDescent="0.2">
      <c r="E50" s="5" t="s">
        <v>1407</v>
      </c>
      <c r="F50" s="5">
        <v>380</v>
      </c>
      <c r="G50" s="5" t="s">
        <v>19</v>
      </c>
      <c r="H50" s="5" t="s">
        <v>1925</v>
      </c>
    </row>
    <row r="51" spans="2:8" x14ac:dyDescent="0.2">
      <c r="E51" s="5" t="s">
        <v>1408</v>
      </c>
      <c r="F51" s="5">
        <v>455</v>
      </c>
      <c r="G51" s="5" t="s">
        <v>19</v>
      </c>
      <c r="H51" s="5" t="s">
        <v>1925</v>
      </c>
    </row>
    <row r="52" spans="2:8" x14ac:dyDescent="0.2">
      <c r="D52" s="5" t="s">
        <v>748</v>
      </c>
    </row>
    <row r="53" spans="2:8" x14ac:dyDescent="0.2">
      <c r="B53" s="5" t="s">
        <v>1409</v>
      </c>
    </row>
    <row r="54" spans="2:8" x14ac:dyDescent="0.2">
      <c r="D54" s="5" t="s">
        <v>703</v>
      </c>
    </row>
    <row r="55" spans="2:8" x14ac:dyDescent="0.2">
      <c r="D55" s="5" t="s">
        <v>704</v>
      </c>
    </row>
    <row r="56" spans="2:8" x14ac:dyDescent="0.2">
      <c r="D56" s="5" t="s">
        <v>705</v>
      </c>
    </row>
    <row r="57" spans="2:8" x14ac:dyDescent="0.2">
      <c r="D57" s="5" t="s">
        <v>711</v>
      </c>
    </row>
    <row r="58" spans="2:8" x14ac:dyDescent="0.2">
      <c r="D58" s="5" t="s">
        <v>712</v>
      </c>
    </row>
  </sheetData>
  <autoFilter ref="A18:H18"/>
  <conditionalFormatting sqref="C17">
    <cfRule type="cellIs" dxfId="63" priority="1" stopIfTrue="1" operator="equal">
      <formula>$B$10</formula>
    </cfRule>
    <cfRule type="cellIs" dxfId="62"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2</v>
      </c>
      <c r="C2" s="15">
        <f>IF(ISERROR(VALUE(TRIM(CLEAN(MID(C20,FIND("(",C20)+1,FIND("/",C20,1)-FIND("(",C20)-1))))),0,VALUE(TRIM(CLEAN(MID(C20,FIND("(",C20)+1,FIND("/",C20,1)-FIND("(",C20)-1)))))</f>
        <v>2</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8</v>
      </c>
      <c r="C4" s="16">
        <f>IF(ISERROR(VALUE(TRIM(CLEAN(MID(C23,FIND("(",C23)+1,FIND("/",C23,1)-FIND("(",C23)-1))))),0,VALUE(TRIM(CLEAN(MID(C23,FIND("(",C23)+1,FIND("/",C23,1)-FIND("(",C23)-1)))))</f>
        <v>8</v>
      </c>
      <c r="E4" s="29" t="s">
        <v>2</v>
      </c>
    </row>
    <row r="5" spans="1:5" ht="22.5" x14ac:dyDescent="0.2">
      <c r="A5" s="20" t="s">
        <v>17</v>
      </c>
      <c r="B5" s="21">
        <f>IF(ISERROR(VALUE(TRIM(CLEAN(MID(C24,FIND("/",C24)+1,FIND(")",C24,1)-FIND("/",C24)-1))))),0,VALUE(TRIM(CLEAN(MID(C24,FIND("/",C24)+1,FIND(")",C24,1)-FIND("/",C24)-1)))))</f>
        <v>4</v>
      </c>
      <c r="C5" s="16">
        <f>IF(ISERROR(VALUE(TRIM(CLEAN(MID(C24,FIND("(",C24)+1,FIND("/",C24,1)-FIND("(",C24)-1))))),0,VALUE(TRIM(CLEAN(MID(C24,FIND("(",C24)+1,FIND("/",C24,1)-FIND("(",C24)-1)))))</f>
        <v>4</v>
      </c>
    </row>
    <row r="6" spans="1:5" x14ac:dyDescent="0.2">
      <c r="A6" s="20"/>
      <c r="B6" s="21"/>
      <c r="C6" s="16"/>
    </row>
    <row r="7" spans="1:5" ht="13.5" thickBot="1" x14ac:dyDescent="0.25">
      <c r="A7" s="22" t="s">
        <v>13</v>
      </c>
      <c r="B7" s="23">
        <f>SUM(B2:B5)</f>
        <v>14</v>
      </c>
      <c r="C7" s="17">
        <f>SUM(C2:C5)</f>
        <v>14</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1411</v>
      </c>
    </row>
    <row r="20" spans="1:8" x14ac:dyDescent="0.2">
      <c r="C20" s="5" t="s">
        <v>1000</v>
      </c>
    </row>
    <row r="21" spans="1:8" x14ac:dyDescent="0.2">
      <c r="C21" s="5" t="s">
        <v>704</v>
      </c>
    </row>
    <row r="22" spans="1:8" x14ac:dyDescent="0.2">
      <c r="C22" s="5" t="s">
        <v>1001</v>
      </c>
    </row>
    <row r="23" spans="1:8" x14ac:dyDescent="0.2">
      <c r="C23" s="5" t="s">
        <v>743</v>
      </c>
    </row>
    <row r="24" spans="1:8" x14ac:dyDescent="0.2">
      <c r="C24" s="5" t="s">
        <v>744</v>
      </c>
    </row>
    <row r="25" spans="1:8" x14ac:dyDescent="0.2">
      <c r="B25" s="5" t="s">
        <v>1412</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1413</v>
      </c>
    </row>
    <row r="32" spans="1:8" x14ac:dyDescent="0.2">
      <c r="D32" s="5" t="s">
        <v>703</v>
      </c>
    </row>
    <row r="33" spans="4:4" x14ac:dyDescent="0.2">
      <c r="D33" s="5" t="s">
        <v>704</v>
      </c>
    </row>
    <row r="34" spans="4:4" x14ac:dyDescent="0.2">
      <c r="D34" s="5" t="s">
        <v>705</v>
      </c>
    </row>
    <row r="35" spans="4:4" x14ac:dyDescent="0.2">
      <c r="D35" s="5" t="s">
        <v>743</v>
      </c>
    </row>
    <row r="36" spans="4:4" x14ac:dyDescent="0.2">
      <c r="D36" s="5" t="s">
        <v>744</v>
      </c>
    </row>
  </sheetData>
  <autoFilter ref="A18:H18"/>
  <conditionalFormatting sqref="C17">
    <cfRule type="cellIs" dxfId="61" priority="1" stopIfTrue="1" operator="equal">
      <formula>$B$10</formula>
    </cfRule>
    <cfRule type="cellIs" dxfId="60"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2</v>
      </c>
      <c r="C2" s="15">
        <f>IF(ISERROR(VALUE(TRIM(CLEAN(MID(C20,FIND("(",C20)+1,FIND("/",C20,1)-FIND("(",C20)-1))))),0,VALUE(TRIM(CLEAN(MID(C20,FIND("(",C20)+1,FIND("/",C20,1)-FIND("(",C20)-1)))))</f>
        <v>2</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28</v>
      </c>
      <c r="C4" s="16">
        <f>IF(ISERROR(VALUE(TRIM(CLEAN(MID(C23,FIND("(",C23)+1,FIND("/",C23,1)-FIND("(",C23)-1))))),0,VALUE(TRIM(CLEAN(MID(C23,FIND("(",C23)+1,FIND("/",C23,1)-FIND("(",C23)-1)))))</f>
        <v>28</v>
      </c>
      <c r="E4" s="29" t="s">
        <v>2</v>
      </c>
    </row>
    <row r="5" spans="1:5" ht="22.5" x14ac:dyDescent="0.2">
      <c r="A5" s="20" t="s">
        <v>17</v>
      </c>
      <c r="B5" s="21">
        <f>IF(ISERROR(VALUE(TRIM(CLEAN(MID(C24,FIND("/",C24)+1,FIND(")",C24,1)-FIND("/",C24)-1))))),0,VALUE(TRIM(CLEAN(MID(C24,FIND("/",C24)+1,FIND(")",C24,1)-FIND("/",C24)-1)))))</f>
        <v>14</v>
      </c>
      <c r="C5" s="16">
        <f>IF(ISERROR(VALUE(TRIM(CLEAN(MID(C24,FIND("(",C24)+1,FIND("/",C24,1)-FIND("(",C24)-1))))),0,VALUE(TRIM(CLEAN(MID(C24,FIND("(",C24)+1,FIND("/",C24,1)-FIND("(",C24)-1)))))</f>
        <v>14</v>
      </c>
    </row>
    <row r="6" spans="1:5" x14ac:dyDescent="0.2">
      <c r="A6" s="20"/>
      <c r="B6" s="21"/>
      <c r="C6" s="16"/>
    </row>
    <row r="7" spans="1:5" ht="13.5" thickBot="1" x14ac:dyDescent="0.25">
      <c r="A7" s="22" t="s">
        <v>13</v>
      </c>
      <c r="B7" s="23">
        <f>SUM(B2:B5)</f>
        <v>44</v>
      </c>
      <c r="C7" s="17">
        <f>SUM(C2:C5)</f>
        <v>44</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1415</v>
      </c>
    </row>
    <row r="20" spans="1:8" x14ac:dyDescent="0.2">
      <c r="C20" s="5" t="s">
        <v>1000</v>
      </c>
    </row>
    <row r="21" spans="1:8" x14ac:dyDescent="0.2">
      <c r="C21" s="5" t="s">
        <v>704</v>
      </c>
    </row>
    <row r="22" spans="1:8" x14ac:dyDescent="0.2">
      <c r="C22" s="5" t="s">
        <v>1001</v>
      </c>
    </row>
    <row r="23" spans="1:8" x14ac:dyDescent="0.2">
      <c r="C23" s="5" t="s">
        <v>874</v>
      </c>
    </row>
    <row r="24" spans="1:8" x14ac:dyDescent="0.2">
      <c r="C24" s="5" t="s">
        <v>845</v>
      </c>
    </row>
    <row r="25" spans="1:8" x14ac:dyDescent="0.2">
      <c r="B25" s="5" t="s">
        <v>1416</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1417</v>
      </c>
    </row>
    <row r="32" spans="1:8" x14ac:dyDescent="0.2">
      <c r="D32" s="5" t="s">
        <v>703</v>
      </c>
    </row>
    <row r="33" spans="4:4" x14ac:dyDescent="0.2">
      <c r="D33" s="5" t="s">
        <v>704</v>
      </c>
    </row>
    <row r="34" spans="4:4" x14ac:dyDescent="0.2">
      <c r="D34" s="5" t="s">
        <v>705</v>
      </c>
    </row>
    <row r="35" spans="4:4" x14ac:dyDescent="0.2">
      <c r="D35" s="5" t="s">
        <v>874</v>
      </c>
    </row>
    <row r="36" spans="4:4" x14ac:dyDescent="0.2">
      <c r="D36" s="5" t="s">
        <v>845</v>
      </c>
    </row>
  </sheetData>
  <autoFilter ref="A18:H18"/>
  <conditionalFormatting sqref="C17">
    <cfRule type="cellIs" dxfId="59" priority="1" stopIfTrue="1" operator="equal">
      <formula>$B$10</formula>
    </cfRule>
    <cfRule type="cellIs" dxfId="58"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tabColor indexed="11"/>
  </sheetPr>
  <dimension ref="A1:H36"/>
  <sheetViews>
    <sheetView workbookViewId="0">
      <selection activeCell="E3" sqref="E3"/>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3</v>
      </c>
      <c r="C2" s="15">
        <f>IF(ISERROR(VALUE(TRIM(CLEAN(MID(C20,FIND("(",C20)+1,FIND("/",C20,1)-FIND("(",C20)-1))))),0,VALUE(TRIM(CLEAN(MID(C20,FIND("(",C20)+1,FIND("/",C20,1)-FIND("(",C20)-1)))))</f>
        <v>3</v>
      </c>
    </row>
    <row r="3" spans="1:5" ht="22.5" x14ac:dyDescent="0.2">
      <c r="A3" s="20" t="s">
        <v>15</v>
      </c>
      <c r="B3" s="21">
        <f>IF(ISERROR(VALUE(TRIM(CLEAN(MID(C21,FIND("/",C21)+1,FIND(")",C21,1)-FIND("/",C21)-1))))),0,VALUE(TRIM(CLEAN(MID(C21,FIND("/",C21)+1,FIND(")",C21,1)-FIND("/",C21)-1)))))</f>
        <v>1</v>
      </c>
      <c r="C3" s="16">
        <f>IF(ISERROR(VALUE(TRIM(CLEAN(MID(C21,FIND("(",C21)+1,FIND("/",C21,1)-FIND("(",C21)-1))))),0,VALUE(TRIM(CLEAN(MID(C21,FIND("(",C21)+1,FIND("/",C21,1)-FIND("(",C21)-1)))))</f>
        <v>1</v>
      </c>
      <c r="E3" s="29" t="s">
        <v>1</v>
      </c>
    </row>
    <row r="4" spans="1:5" ht="22.5" x14ac:dyDescent="0.2">
      <c r="A4" s="20" t="s">
        <v>16</v>
      </c>
      <c r="B4" s="21">
        <f>IF(ISERROR(VALUE(TRIM(CLEAN(MID(C23,FIND("/",C23)+1,FIND(")",C23,1)-FIND("/",C23)-1))))),0,VALUE(TRIM(CLEAN(MID(C23,FIND("/",C23)+1,FIND(")",C23,1)-FIND("/",C23)-1)))))</f>
        <v>2</v>
      </c>
      <c r="C4" s="16">
        <f>IF(ISERROR(VALUE(TRIM(CLEAN(MID(C23,FIND("(",C23)+1,FIND("/",C23,1)-FIND("(",C23)-1))))),0,VALUE(TRIM(CLEAN(MID(C23,FIND("(",C23)+1,FIND("/",C23,1)-FIND("(",C23)-1)))))</f>
        <v>2</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6</v>
      </c>
      <c r="C7" s="17">
        <f>SUM(C2:C5)</f>
        <v>6</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1419</v>
      </c>
    </row>
    <row r="20" spans="1:8" x14ac:dyDescent="0.2">
      <c r="C20" s="5" t="s">
        <v>882</v>
      </c>
    </row>
    <row r="21" spans="1:8" x14ac:dyDescent="0.2">
      <c r="C21" s="5" t="s">
        <v>859</v>
      </c>
    </row>
    <row r="22" spans="1:8" x14ac:dyDescent="0.2">
      <c r="C22" s="5" t="s">
        <v>878</v>
      </c>
    </row>
    <row r="23" spans="1:8" x14ac:dyDescent="0.2">
      <c r="C23" s="5" t="s">
        <v>1026</v>
      </c>
    </row>
    <row r="24" spans="1:8" x14ac:dyDescent="0.2">
      <c r="C24" s="5" t="s">
        <v>712</v>
      </c>
    </row>
    <row r="25" spans="1:8" x14ac:dyDescent="0.2">
      <c r="B25" s="5" t="s">
        <v>1421</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1422</v>
      </c>
    </row>
    <row r="32" spans="1:8" x14ac:dyDescent="0.2">
      <c r="D32" s="5" t="s">
        <v>1000</v>
      </c>
    </row>
    <row r="33" spans="4:4" x14ac:dyDescent="0.2">
      <c r="D33" s="5" t="s">
        <v>859</v>
      </c>
    </row>
    <row r="34" spans="4:4" x14ac:dyDescent="0.2">
      <c r="D34" s="5" t="s">
        <v>883</v>
      </c>
    </row>
    <row r="35" spans="4:4" x14ac:dyDescent="0.2">
      <c r="D35" s="5" t="s">
        <v>1026</v>
      </c>
    </row>
    <row r="36" spans="4:4" x14ac:dyDescent="0.2">
      <c r="D36" s="5" t="s">
        <v>712</v>
      </c>
    </row>
  </sheetData>
  <autoFilter ref="A18:H18"/>
  <conditionalFormatting sqref="C17">
    <cfRule type="cellIs" dxfId="57" priority="1" stopIfTrue="1" operator="equal">
      <formula>$B$10</formula>
    </cfRule>
    <cfRule type="cellIs" dxfId="56"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tabColor indexed="11"/>
  </sheetPr>
  <dimension ref="A1:H90"/>
  <sheetViews>
    <sheetView topLeftCell="A4" workbookViewId="0">
      <selection activeCell="E4" sqref="E4"/>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52</v>
      </c>
      <c r="C2" s="15">
        <f>IF(ISERROR(VALUE(TRIM(CLEAN(MID(C20,FIND("(",C20)+1,FIND("/",C20,1)-FIND("(",C20)-1))))),0,VALUE(TRIM(CLEAN(MID(C20,FIND("(",C20)+1,FIND("/",C20,1)-FIND("(",C20)-1)))))</f>
        <v>52</v>
      </c>
    </row>
    <row r="3" spans="1:5" ht="22.5" x14ac:dyDescent="0.2">
      <c r="A3" s="20" t="s">
        <v>15</v>
      </c>
      <c r="B3" s="21">
        <f>IF(ISERROR(VALUE(TRIM(CLEAN(MID(C21,FIND("/",C21)+1,FIND(")",C21,1)-FIND("/",C21)-1))))),0,VALUE(TRIM(CLEAN(MID(C21,FIND("/",C21)+1,FIND(")",C21,1)-FIND("/",C21)-1)))))</f>
        <v>14</v>
      </c>
      <c r="C3" s="16">
        <f>IF(ISERROR(VALUE(TRIM(CLEAN(MID(C21,FIND("(",C21)+1,FIND("/",C21,1)-FIND("(",C21)-1))))),0,VALUE(TRIM(CLEAN(MID(C21,FIND("(",C21)+1,FIND("/",C21,1)-FIND("(",C21)-1)))))</f>
        <v>14</v>
      </c>
      <c r="E3" s="29" t="s">
        <v>1</v>
      </c>
    </row>
    <row r="4" spans="1:5" ht="22.5" x14ac:dyDescent="0.2">
      <c r="A4" s="20" t="s">
        <v>16</v>
      </c>
      <c r="B4" s="21">
        <f>IF(ISERROR(VALUE(TRIM(CLEAN(MID(C23,FIND("/",C23)+1,FIND(")",C23,1)-FIND("/",C23)-1))))),0,VALUE(TRIM(CLEAN(MID(C23,FIND("/",C23)+1,FIND(")",C23,1)-FIND("/",C23)-1)))))</f>
        <v>129</v>
      </c>
      <c r="C4" s="16">
        <f>IF(ISERROR(VALUE(TRIM(CLEAN(MID(C23,FIND("(",C23)+1,FIND("/",C23,1)-FIND("(",C23)-1))))),0,VALUE(TRIM(CLEAN(MID(C23,FIND("(",C23)+1,FIND("/",C23,1)-FIND("(",C23)-1)))))</f>
        <v>129</v>
      </c>
      <c r="E4" s="29" t="s">
        <v>2</v>
      </c>
    </row>
    <row r="5" spans="1:5" ht="22.5" x14ac:dyDescent="0.2">
      <c r="A5" s="20" t="s">
        <v>17</v>
      </c>
      <c r="B5" s="21">
        <f>IF(ISERROR(VALUE(TRIM(CLEAN(MID(C24,FIND("/",C24)+1,FIND(")",C24,1)-FIND("/",C24)-1))))),0,VALUE(TRIM(CLEAN(MID(C24,FIND("/",C24)+1,FIND(")",C24,1)-FIND("/",C24)-1)))))</f>
        <v>46</v>
      </c>
      <c r="C5" s="16">
        <f>IF(ISERROR(VALUE(TRIM(CLEAN(MID(C24,FIND("(",C24)+1,FIND("/",C24,1)-FIND("(",C24)-1))))),0,VALUE(TRIM(CLEAN(MID(C24,FIND("(",C24)+1,FIND("/",C24,1)-FIND("(",C24)-1)))))</f>
        <v>46</v>
      </c>
    </row>
    <row r="6" spans="1:5" x14ac:dyDescent="0.2">
      <c r="A6" s="20"/>
      <c r="B6" s="21"/>
      <c r="C6" s="16"/>
    </row>
    <row r="7" spans="1:5" ht="13.5" thickBot="1" x14ac:dyDescent="0.25">
      <c r="A7" s="22" t="s">
        <v>13</v>
      </c>
      <c r="B7" s="23">
        <f>SUM(B2:B5)</f>
        <v>241</v>
      </c>
      <c r="C7" s="17">
        <f>SUM(C2:C5)</f>
        <v>241</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1424</v>
      </c>
    </row>
    <row r="20" spans="1:8" x14ac:dyDescent="0.2">
      <c r="C20" s="5" t="s">
        <v>1425</v>
      </c>
    </row>
    <row r="21" spans="1:8" x14ac:dyDescent="0.2">
      <c r="C21" s="5" t="s">
        <v>1426</v>
      </c>
    </row>
    <row r="22" spans="1:8" x14ac:dyDescent="0.2">
      <c r="C22" s="5" t="s">
        <v>1427</v>
      </c>
    </row>
    <row r="23" spans="1:8" x14ac:dyDescent="0.2">
      <c r="C23" s="5" t="s">
        <v>1428</v>
      </c>
    </row>
    <row r="24" spans="1:8" x14ac:dyDescent="0.2">
      <c r="C24" s="5" t="s">
        <v>1166</v>
      </c>
    </row>
    <row r="25" spans="1:8" x14ac:dyDescent="0.2">
      <c r="B25" s="5" t="s">
        <v>1429</v>
      </c>
    </row>
    <row r="26" spans="1:8" x14ac:dyDescent="0.2">
      <c r="D26" s="5" t="s">
        <v>864</v>
      </c>
    </row>
    <row r="27" spans="1:8" x14ac:dyDescent="0.2">
      <c r="D27" s="5" t="s">
        <v>834</v>
      </c>
    </row>
    <row r="28" spans="1:8" x14ac:dyDescent="0.2">
      <c r="D28" s="5" t="s">
        <v>1013</v>
      </c>
    </row>
    <row r="29" spans="1:8" x14ac:dyDescent="0.2">
      <c r="D29" s="5" t="s">
        <v>743</v>
      </c>
    </row>
    <row r="30" spans="1:8" x14ac:dyDescent="0.2">
      <c r="D30" s="5" t="s">
        <v>707</v>
      </c>
    </row>
    <row r="31" spans="1:8" x14ac:dyDescent="0.2">
      <c r="B31" s="5" t="s">
        <v>1430</v>
      </c>
    </row>
    <row r="32" spans="1:8" x14ac:dyDescent="0.2">
      <c r="D32" s="5" t="s">
        <v>1000</v>
      </c>
    </row>
    <row r="33" spans="2:4" x14ac:dyDescent="0.2">
      <c r="D33" s="5" t="s">
        <v>859</v>
      </c>
    </row>
    <row r="34" spans="2:4" x14ac:dyDescent="0.2">
      <c r="D34" s="5" t="s">
        <v>883</v>
      </c>
    </row>
    <row r="35" spans="2:4" x14ac:dyDescent="0.2">
      <c r="D35" s="5" t="s">
        <v>706</v>
      </c>
    </row>
    <row r="36" spans="2:4" x14ac:dyDescent="0.2">
      <c r="D36" s="5" t="s">
        <v>707</v>
      </c>
    </row>
    <row r="37" spans="2:4" x14ac:dyDescent="0.2">
      <c r="B37" s="5" t="s">
        <v>1431</v>
      </c>
    </row>
    <row r="38" spans="2:4" x14ac:dyDescent="0.2">
      <c r="D38" s="5" t="s">
        <v>864</v>
      </c>
    </row>
    <row r="39" spans="2:4" x14ac:dyDescent="0.2">
      <c r="D39" s="5" t="s">
        <v>834</v>
      </c>
    </row>
    <row r="40" spans="2:4" x14ac:dyDescent="0.2">
      <c r="D40" s="5" t="s">
        <v>1013</v>
      </c>
    </row>
    <row r="41" spans="2:4" x14ac:dyDescent="0.2">
      <c r="D41" s="5" t="s">
        <v>727</v>
      </c>
    </row>
    <row r="42" spans="2:4" x14ac:dyDescent="0.2">
      <c r="D42" s="5" t="s">
        <v>712</v>
      </c>
    </row>
    <row r="43" spans="2:4" x14ac:dyDescent="0.2">
      <c r="B43" s="5" t="s">
        <v>1432</v>
      </c>
    </row>
    <row r="44" spans="2:4" x14ac:dyDescent="0.2">
      <c r="D44" s="5" t="s">
        <v>703</v>
      </c>
    </row>
    <row r="45" spans="2:4" x14ac:dyDescent="0.2">
      <c r="D45" s="5" t="s">
        <v>704</v>
      </c>
    </row>
    <row r="46" spans="2:4" x14ac:dyDescent="0.2">
      <c r="D46" s="5" t="s">
        <v>705</v>
      </c>
    </row>
    <row r="47" spans="2:4" x14ac:dyDescent="0.2">
      <c r="D47" s="5" t="s">
        <v>711</v>
      </c>
    </row>
    <row r="48" spans="2:4" x14ac:dyDescent="0.2">
      <c r="D48" s="5" t="s">
        <v>712</v>
      </c>
    </row>
    <row r="49" spans="2:4" x14ac:dyDescent="0.2">
      <c r="B49" s="5" t="s">
        <v>1433</v>
      </c>
    </row>
    <row r="50" spans="2:4" x14ac:dyDescent="0.2">
      <c r="D50" s="5" t="s">
        <v>703</v>
      </c>
    </row>
    <row r="51" spans="2:4" x14ac:dyDescent="0.2">
      <c r="D51" s="5" t="s">
        <v>704</v>
      </c>
    </row>
    <row r="52" spans="2:4" x14ac:dyDescent="0.2">
      <c r="D52" s="5" t="s">
        <v>705</v>
      </c>
    </row>
    <row r="53" spans="2:4" x14ac:dyDescent="0.2">
      <c r="D53" s="5" t="s">
        <v>760</v>
      </c>
    </row>
    <row r="54" spans="2:4" x14ac:dyDescent="0.2">
      <c r="D54" s="5" t="s">
        <v>761</v>
      </c>
    </row>
    <row r="55" spans="2:4" x14ac:dyDescent="0.2">
      <c r="B55" s="5" t="s">
        <v>1434</v>
      </c>
    </row>
    <row r="56" spans="2:4" x14ac:dyDescent="0.2">
      <c r="D56" s="5" t="s">
        <v>703</v>
      </c>
    </row>
    <row r="57" spans="2:4" x14ac:dyDescent="0.2">
      <c r="D57" s="5" t="s">
        <v>704</v>
      </c>
    </row>
    <row r="58" spans="2:4" x14ac:dyDescent="0.2">
      <c r="D58" s="5" t="s">
        <v>705</v>
      </c>
    </row>
    <row r="59" spans="2:4" x14ac:dyDescent="0.2">
      <c r="D59" s="5" t="s">
        <v>711</v>
      </c>
    </row>
    <row r="60" spans="2:4" x14ac:dyDescent="0.2">
      <c r="D60" s="5" t="s">
        <v>712</v>
      </c>
    </row>
    <row r="61" spans="2:4" x14ac:dyDescent="0.2">
      <c r="B61" s="5" t="s">
        <v>1435</v>
      </c>
    </row>
    <row r="62" spans="2:4" x14ac:dyDescent="0.2">
      <c r="D62" s="5" t="s">
        <v>703</v>
      </c>
    </row>
    <row r="63" spans="2:4" x14ac:dyDescent="0.2">
      <c r="D63" s="5" t="s">
        <v>704</v>
      </c>
    </row>
    <row r="64" spans="2:4" x14ac:dyDescent="0.2">
      <c r="D64" s="5" t="s">
        <v>705</v>
      </c>
    </row>
    <row r="65" spans="2:4" x14ac:dyDescent="0.2">
      <c r="D65" s="5" t="s">
        <v>711</v>
      </c>
    </row>
    <row r="66" spans="2:4" x14ac:dyDescent="0.2">
      <c r="D66" s="5" t="s">
        <v>712</v>
      </c>
    </row>
    <row r="67" spans="2:4" x14ac:dyDescent="0.2">
      <c r="B67" s="5" t="s">
        <v>1436</v>
      </c>
    </row>
    <row r="68" spans="2:4" x14ac:dyDescent="0.2">
      <c r="D68" s="5" t="s">
        <v>1012</v>
      </c>
    </row>
    <row r="69" spans="2:4" x14ac:dyDescent="0.2">
      <c r="D69" s="5" t="s">
        <v>859</v>
      </c>
    </row>
    <row r="70" spans="2:4" x14ac:dyDescent="0.2">
      <c r="D70" s="5" t="s">
        <v>1264</v>
      </c>
    </row>
    <row r="71" spans="2:4" x14ac:dyDescent="0.2">
      <c r="D71" s="5" t="s">
        <v>1437</v>
      </c>
    </row>
    <row r="72" spans="2:4" x14ac:dyDescent="0.2">
      <c r="D72" s="5" t="s">
        <v>712</v>
      </c>
    </row>
    <row r="73" spans="2:4" x14ac:dyDescent="0.2">
      <c r="B73" s="5" t="s">
        <v>1438</v>
      </c>
    </row>
    <row r="74" spans="2:4" x14ac:dyDescent="0.2">
      <c r="D74" s="5" t="s">
        <v>1439</v>
      </c>
    </row>
    <row r="75" spans="2:4" x14ac:dyDescent="0.2">
      <c r="D75" s="5" t="s">
        <v>1440</v>
      </c>
    </row>
    <row r="76" spans="2:4" x14ac:dyDescent="0.2">
      <c r="D76" s="5" t="s">
        <v>1441</v>
      </c>
    </row>
    <row r="77" spans="2:4" x14ac:dyDescent="0.2">
      <c r="D77" s="5" t="s">
        <v>1442</v>
      </c>
    </row>
    <row r="78" spans="2:4" x14ac:dyDescent="0.2">
      <c r="D78" s="5" t="s">
        <v>945</v>
      </c>
    </row>
    <row r="79" spans="2:4" x14ac:dyDescent="0.2">
      <c r="B79" s="5" t="s">
        <v>1443</v>
      </c>
    </row>
    <row r="80" spans="2:4" x14ac:dyDescent="0.2">
      <c r="D80" s="5" t="s">
        <v>703</v>
      </c>
    </row>
    <row r="81" spans="2:4" x14ac:dyDescent="0.2">
      <c r="D81" s="5" t="s">
        <v>704</v>
      </c>
    </row>
    <row r="82" spans="2:4" x14ac:dyDescent="0.2">
      <c r="D82" s="5" t="s">
        <v>705</v>
      </c>
    </row>
    <row r="83" spans="2:4" x14ac:dyDescent="0.2">
      <c r="D83" s="5" t="s">
        <v>711</v>
      </c>
    </row>
    <row r="84" spans="2:4" x14ac:dyDescent="0.2">
      <c r="D84" s="5" t="s">
        <v>712</v>
      </c>
    </row>
    <row r="85" spans="2:4" x14ac:dyDescent="0.2">
      <c r="B85" s="5" t="s">
        <v>1444</v>
      </c>
    </row>
    <row r="86" spans="2:4" x14ac:dyDescent="0.2">
      <c r="D86" s="5" t="s">
        <v>1000</v>
      </c>
    </row>
    <row r="87" spans="2:4" x14ac:dyDescent="0.2">
      <c r="D87" s="5" t="s">
        <v>859</v>
      </c>
    </row>
    <row r="88" spans="2:4" x14ac:dyDescent="0.2">
      <c r="D88" s="5" t="s">
        <v>883</v>
      </c>
    </row>
    <row r="89" spans="2:4" x14ac:dyDescent="0.2">
      <c r="D89" s="5" t="s">
        <v>1026</v>
      </c>
    </row>
    <row r="90" spans="2:4" x14ac:dyDescent="0.2">
      <c r="D90" s="5" t="s">
        <v>712</v>
      </c>
    </row>
  </sheetData>
  <autoFilter ref="A18:H18"/>
  <conditionalFormatting sqref="C17">
    <cfRule type="cellIs" dxfId="55" priority="1" stopIfTrue="1" operator="equal">
      <formula>$B$10</formula>
    </cfRule>
    <cfRule type="cellIs" dxfId="54"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tabColor indexed="11"/>
  </sheetPr>
  <dimension ref="A1:H64"/>
  <sheetViews>
    <sheetView workbookViewId="0">
      <selection activeCell="E3" sqref="E3"/>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121</v>
      </c>
      <c r="C2" s="15">
        <f>IF(ISERROR(VALUE(TRIM(CLEAN(MID(C20,FIND("(",C20)+1,FIND("/",C20,1)-FIND("(",C20)-1))))),0,VALUE(TRIM(CLEAN(MID(C20,FIND("(",C20)+1,FIND("/",C20,1)-FIND("(",C20)-1)))))</f>
        <v>113</v>
      </c>
    </row>
    <row r="3" spans="1:5" ht="22.5" x14ac:dyDescent="0.2">
      <c r="A3" s="20" t="s">
        <v>15</v>
      </c>
      <c r="B3" s="21">
        <f>IF(ISERROR(VALUE(TRIM(CLEAN(MID(C21,FIND("/",C21)+1,FIND(")",C21,1)-FIND("/",C21)-1))))),0,VALUE(TRIM(CLEAN(MID(C21,FIND("/",C21)+1,FIND(")",C21,1)-FIND("/",C21)-1)))))</f>
        <v>8</v>
      </c>
      <c r="C3" s="16">
        <f>IF(ISERROR(VALUE(TRIM(CLEAN(MID(C21,FIND("(",C21)+1,FIND("/",C21,1)-FIND("(",C21)-1))))),0,VALUE(TRIM(CLEAN(MID(C21,FIND("(",C21)+1,FIND("/",C21,1)-FIND("(",C21)-1)))))</f>
        <v>8</v>
      </c>
      <c r="E3" s="29" t="s">
        <v>1</v>
      </c>
    </row>
    <row r="4" spans="1:5" ht="22.5" x14ac:dyDescent="0.2">
      <c r="A4" s="20" t="s">
        <v>16</v>
      </c>
      <c r="B4" s="21">
        <f>IF(ISERROR(VALUE(TRIM(CLEAN(MID(C23,FIND("/",C23)+1,FIND(")",C23,1)-FIND("/",C23)-1))))),0,VALUE(TRIM(CLEAN(MID(C23,FIND("/",C23)+1,FIND(")",C23,1)-FIND("/",C23)-1)))))</f>
        <v>126</v>
      </c>
      <c r="C4" s="16">
        <f>IF(ISERROR(VALUE(TRIM(CLEAN(MID(C23,FIND("(",C23)+1,FIND("/",C23,1)-FIND("(",C23)-1))))),0,VALUE(TRIM(CLEAN(MID(C23,FIND("(",C23)+1,FIND("/",C23,1)-FIND("(",C23)-1)))))</f>
        <v>118</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255</v>
      </c>
      <c r="C7" s="17">
        <f>SUM(C2:C5)</f>
        <v>239</v>
      </c>
    </row>
    <row r="8" spans="1:5" x14ac:dyDescent="0.2">
      <c r="A8" s="12"/>
      <c r="B8" s="7"/>
      <c r="C8" s="7"/>
    </row>
    <row r="9" spans="1:5" ht="13.5" thickBot="1" x14ac:dyDescent="0.25">
      <c r="A9" s="10"/>
      <c r="B9" s="7"/>
      <c r="C9" s="7"/>
    </row>
    <row r="10" spans="1:5" ht="24" thickTop="1" thickBot="1" x14ac:dyDescent="0.25">
      <c r="A10" s="24" t="s">
        <v>18</v>
      </c>
      <c r="B10" s="26">
        <f>B7-C7</f>
        <v>16</v>
      </c>
      <c r="C10" s="27"/>
    </row>
    <row r="11" spans="1:5" ht="13.5" thickBot="1" x14ac:dyDescent="0.25">
      <c r="A11" s="25" t="s">
        <v>21</v>
      </c>
      <c r="B11" s="28"/>
      <c r="C11" s="28">
        <f t="shared" ref="C11:C16" si="0">COUNTIF(G:G,A11)</f>
        <v>0</v>
      </c>
    </row>
    <row r="12" spans="1:5" ht="23.25" thickBot="1" x14ac:dyDescent="0.25">
      <c r="A12" s="25" t="s">
        <v>22</v>
      </c>
      <c r="B12" s="28"/>
      <c r="C12" s="28">
        <f t="shared" si="0"/>
        <v>16</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16</v>
      </c>
    </row>
    <row r="18" spans="1:8" customFormat="1" ht="23.25" x14ac:dyDescent="0.25">
      <c r="A18" s="4" t="s">
        <v>3</v>
      </c>
      <c r="B18" s="6" t="s">
        <v>4</v>
      </c>
      <c r="C18" s="8" t="s">
        <v>6</v>
      </c>
      <c r="D18" s="8" t="s">
        <v>7</v>
      </c>
      <c r="E18" s="8" t="s">
        <v>5</v>
      </c>
      <c r="F18" s="3" t="s">
        <v>10</v>
      </c>
      <c r="G18" s="1" t="s">
        <v>9</v>
      </c>
      <c r="H18" s="2" t="s">
        <v>8</v>
      </c>
    </row>
    <row r="19" spans="1:8" x14ac:dyDescent="0.2">
      <c r="A19" s="5" t="s">
        <v>1446</v>
      </c>
    </row>
    <row r="20" spans="1:8" x14ac:dyDescent="0.2">
      <c r="C20" s="5" t="s">
        <v>1447</v>
      </c>
    </row>
    <row r="21" spans="1:8" x14ac:dyDescent="0.2">
      <c r="C21" s="5" t="s">
        <v>1448</v>
      </c>
    </row>
    <row r="22" spans="1:8" x14ac:dyDescent="0.2">
      <c r="C22" s="5" t="s">
        <v>1449</v>
      </c>
    </row>
    <row r="23" spans="1:8" x14ac:dyDescent="0.2">
      <c r="C23" s="5" t="s">
        <v>1450</v>
      </c>
    </row>
    <row r="24" spans="1:8" x14ac:dyDescent="0.2">
      <c r="C24" s="5" t="s">
        <v>712</v>
      </c>
    </row>
    <row r="25" spans="1:8" x14ac:dyDescent="0.2">
      <c r="B25" s="5" t="s">
        <v>1451</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1452</v>
      </c>
    </row>
    <row r="32" spans="1:8" x14ac:dyDescent="0.2">
      <c r="D32" s="5" t="s">
        <v>1000</v>
      </c>
    </row>
    <row r="33" spans="2:8" x14ac:dyDescent="0.2">
      <c r="D33" s="5" t="s">
        <v>859</v>
      </c>
    </row>
    <row r="34" spans="2:8" x14ac:dyDescent="0.2">
      <c r="D34" s="5" t="s">
        <v>883</v>
      </c>
    </row>
    <row r="35" spans="2:8" x14ac:dyDescent="0.2">
      <c r="D35" s="5" t="s">
        <v>1026</v>
      </c>
    </row>
    <row r="36" spans="2:8" x14ac:dyDescent="0.2">
      <c r="D36" s="5" t="s">
        <v>712</v>
      </c>
    </row>
    <row r="37" spans="2:8" x14ac:dyDescent="0.2">
      <c r="B37" s="5" t="s">
        <v>1453</v>
      </c>
    </row>
    <row r="38" spans="2:8" x14ac:dyDescent="0.2">
      <c r="D38" s="5" t="s">
        <v>1454</v>
      </c>
    </row>
    <row r="39" spans="2:8" x14ac:dyDescent="0.2">
      <c r="D39" s="5" t="s">
        <v>1455</v>
      </c>
    </row>
    <row r="40" spans="2:8" x14ac:dyDescent="0.2">
      <c r="D40" s="5" t="s">
        <v>1328</v>
      </c>
    </row>
    <row r="41" spans="2:8" x14ac:dyDescent="0.2">
      <c r="D41" s="5" t="s">
        <v>1456</v>
      </c>
    </row>
    <row r="42" spans="2:8" x14ac:dyDescent="0.2">
      <c r="D42" s="5" t="s">
        <v>712</v>
      </c>
    </row>
    <row r="43" spans="2:8" x14ac:dyDescent="0.2">
      <c r="B43" s="5" t="s">
        <v>1457</v>
      </c>
    </row>
    <row r="44" spans="2:8" x14ac:dyDescent="0.2">
      <c r="D44" s="5" t="s">
        <v>1458</v>
      </c>
    </row>
    <row r="45" spans="2:8" ht="56.25" x14ac:dyDescent="0.2">
      <c r="E45" s="5" t="s">
        <v>1459</v>
      </c>
      <c r="F45" s="5">
        <v>720</v>
      </c>
      <c r="G45" s="5" t="s">
        <v>22</v>
      </c>
      <c r="H45" s="31" t="s">
        <v>1932</v>
      </c>
    </row>
    <row r="46" spans="2:8" ht="56.25" x14ac:dyDescent="0.2">
      <c r="E46" s="5" t="s">
        <v>1460</v>
      </c>
      <c r="F46" s="5">
        <v>735</v>
      </c>
      <c r="G46" s="5" t="s">
        <v>22</v>
      </c>
      <c r="H46" s="31" t="s">
        <v>1932</v>
      </c>
    </row>
    <row r="47" spans="2:8" ht="56.25" x14ac:dyDescent="0.2">
      <c r="E47" s="5" t="s">
        <v>1461</v>
      </c>
      <c r="F47" s="5">
        <v>764</v>
      </c>
      <c r="G47" s="5" t="s">
        <v>22</v>
      </c>
      <c r="H47" s="31" t="s">
        <v>1932</v>
      </c>
    </row>
    <row r="48" spans="2:8" ht="56.25" x14ac:dyDescent="0.2">
      <c r="E48" s="5" t="s">
        <v>1462</v>
      </c>
      <c r="F48" s="5">
        <v>779</v>
      </c>
      <c r="G48" s="5" t="s">
        <v>22</v>
      </c>
      <c r="H48" s="31" t="s">
        <v>1932</v>
      </c>
    </row>
    <row r="49" spans="4:8" ht="56.25" x14ac:dyDescent="0.2">
      <c r="E49" s="5" t="s">
        <v>1463</v>
      </c>
      <c r="F49" s="5">
        <v>794</v>
      </c>
      <c r="G49" s="5" t="s">
        <v>22</v>
      </c>
      <c r="H49" s="31" t="s">
        <v>1932</v>
      </c>
    </row>
    <row r="50" spans="4:8" ht="56.25" x14ac:dyDescent="0.2">
      <c r="E50" s="5" t="s">
        <v>1464</v>
      </c>
      <c r="F50" s="5">
        <v>810</v>
      </c>
      <c r="G50" s="5" t="s">
        <v>22</v>
      </c>
      <c r="H50" s="31" t="s">
        <v>1932</v>
      </c>
    </row>
    <row r="51" spans="4:8" ht="56.25" x14ac:dyDescent="0.2">
      <c r="E51" s="5" t="s">
        <v>1465</v>
      </c>
      <c r="F51" s="5">
        <v>826</v>
      </c>
      <c r="G51" s="5" t="s">
        <v>22</v>
      </c>
      <c r="H51" s="31" t="s">
        <v>1932</v>
      </c>
    </row>
    <row r="52" spans="4:8" ht="56.25" x14ac:dyDescent="0.2">
      <c r="E52" s="5" t="s">
        <v>1466</v>
      </c>
      <c r="F52" s="5">
        <v>841</v>
      </c>
      <c r="G52" s="5" t="s">
        <v>22</v>
      </c>
      <c r="H52" s="31" t="s">
        <v>1932</v>
      </c>
    </row>
    <row r="53" spans="4:8" x14ac:dyDescent="0.2">
      <c r="D53" s="5" t="s">
        <v>859</v>
      </c>
    </row>
    <row r="54" spans="4:8" x14ac:dyDescent="0.2">
      <c r="D54" s="5" t="s">
        <v>1467</v>
      </c>
    </row>
    <row r="55" spans="4:8" x14ac:dyDescent="0.2">
      <c r="D55" s="5" t="s">
        <v>1468</v>
      </c>
    </row>
    <row r="56" spans="4:8" ht="56.25" x14ac:dyDescent="0.2">
      <c r="E56" s="5" t="s">
        <v>1469</v>
      </c>
      <c r="F56" s="5">
        <v>719</v>
      </c>
      <c r="G56" s="5" t="s">
        <v>22</v>
      </c>
      <c r="H56" s="31" t="s">
        <v>1932</v>
      </c>
    </row>
    <row r="57" spans="4:8" ht="56.25" x14ac:dyDescent="0.2">
      <c r="E57" s="5" t="s">
        <v>1470</v>
      </c>
      <c r="F57" s="5">
        <v>734</v>
      </c>
      <c r="G57" s="5" t="s">
        <v>22</v>
      </c>
      <c r="H57" s="31" t="s">
        <v>1932</v>
      </c>
    </row>
    <row r="58" spans="4:8" ht="56.25" x14ac:dyDescent="0.2">
      <c r="E58" s="5" t="s">
        <v>1471</v>
      </c>
      <c r="F58" s="5">
        <v>763</v>
      </c>
      <c r="G58" s="5" t="s">
        <v>22</v>
      </c>
      <c r="H58" s="31" t="s">
        <v>1932</v>
      </c>
    </row>
    <row r="59" spans="4:8" ht="56.25" x14ac:dyDescent="0.2">
      <c r="E59" s="5" t="s">
        <v>1472</v>
      </c>
      <c r="F59" s="5">
        <v>778</v>
      </c>
      <c r="G59" s="5" t="s">
        <v>22</v>
      </c>
      <c r="H59" s="31" t="s">
        <v>1932</v>
      </c>
    </row>
    <row r="60" spans="4:8" ht="56.25" x14ac:dyDescent="0.2">
      <c r="E60" s="5" t="s">
        <v>1473</v>
      </c>
      <c r="F60" s="5">
        <v>793</v>
      </c>
      <c r="G60" s="5" t="s">
        <v>22</v>
      </c>
      <c r="H60" s="31" t="s">
        <v>1932</v>
      </c>
    </row>
    <row r="61" spans="4:8" ht="56.25" x14ac:dyDescent="0.2">
      <c r="E61" s="5" t="s">
        <v>1474</v>
      </c>
      <c r="F61" s="5">
        <v>809</v>
      </c>
      <c r="G61" s="5" t="s">
        <v>22</v>
      </c>
      <c r="H61" s="31" t="s">
        <v>1932</v>
      </c>
    </row>
    <row r="62" spans="4:8" ht="56.25" x14ac:dyDescent="0.2">
      <c r="E62" s="5" t="s">
        <v>1475</v>
      </c>
      <c r="F62" s="5">
        <v>825</v>
      </c>
      <c r="G62" s="5" t="s">
        <v>22</v>
      </c>
      <c r="H62" s="31" t="s">
        <v>1932</v>
      </c>
    </row>
    <row r="63" spans="4:8" ht="56.25" x14ac:dyDescent="0.2">
      <c r="E63" s="5" t="s">
        <v>1476</v>
      </c>
      <c r="F63" s="5">
        <v>840</v>
      </c>
      <c r="G63" s="5" t="s">
        <v>22</v>
      </c>
      <c r="H63" s="31" t="s">
        <v>1932</v>
      </c>
    </row>
    <row r="64" spans="4:8" x14ac:dyDescent="0.2">
      <c r="D64" s="5" t="s">
        <v>712</v>
      </c>
    </row>
  </sheetData>
  <autoFilter ref="A18:H18"/>
  <conditionalFormatting sqref="C17">
    <cfRule type="cellIs" dxfId="53" priority="1" stopIfTrue="1" operator="equal">
      <formula>$B$10</formula>
    </cfRule>
    <cfRule type="cellIs" dxfId="52"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tabColor indexed="11"/>
  </sheetPr>
  <dimension ref="A1:H30"/>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35</v>
      </c>
      <c r="C2" s="15">
        <f>IF(ISERROR(VALUE(TRIM(CLEAN(MID(C20,FIND("(",C20)+1,FIND("/",C20,1)-FIND("(",C20)-1))))),0,VALUE(TRIM(CLEAN(MID(C20,FIND("(",C20)+1,FIND("/",C20,1)-FIND("(",C20)-1)))))</f>
        <v>35</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198</v>
      </c>
      <c r="C4" s="16">
        <f>IF(ISERROR(VALUE(TRIM(CLEAN(MID(C23,FIND("(",C23)+1,FIND("/",C23,1)-FIND("(",C23)-1))))),0,VALUE(TRIM(CLEAN(MID(C23,FIND("(",C23)+1,FIND("/",C23,1)-FIND("(",C23)-1)))))</f>
        <v>198</v>
      </c>
      <c r="E4" s="29" t="s">
        <v>2</v>
      </c>
    </row>
    <row r="5" spans="1:5" ht="22.5" x14ac:dyDescent="0.2">
      <c r="A5" s="20" t="s">
        <v>17</v>
      </c>
      <c r="B5" s="21">
        <f>IF(ISERROR(VALUE(TRIM(CLEAN(MID(C24,FIND("/",C24)+1,FIND(")",C24,1)-FIND("/",C24)-1))))),0,VALUE(TRIM(CLEAN(MID(C24,FIND("/",C24)+1,FIND(")",C24,1)-FIND("/",C24)-1)))))</f>
        <v>94</v>
      </c>
      <c r="C5" s="16">
        <f>IF(ISERROR(VALUE(TRIM(CLEAN(MID(C24,FIND("(",C24)+1,FIND("/",C24,1)-FIND("(",C24)-1))))),0,VALUE(TRIM(CLEAN(MID(C24,FIND("(",C24)+1,FIND("/",C24,1)-FIND("(",C24)-1)))))</f>
        <v>94</v>
      </c>
    </row>
    <row r="6" spans="1:5" x14ac:dyDescent="0.2">
      <c r="A6" s="20"/>
      <c r="B6" s="21"/>
      <c r="C6" s="16"/>
    </row>
    <row r="7" spans="1:5" ht="13.5" thickBot="1" x14ac:dyDescent="0.25">
      <c r="A7" s="22" t="s">
        <v>13</v>
      </c>
      <c r="B7" s="23">
        <f>SUM(B2:B5)</f>
        <v>327</v>
      </c>
      <c r="C7" s="17">
        <f>SUM(C2:C5)</f>
        <v>327</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1478</v>
      </c>
    </row>
    <row r="20" spans="1:8" x14ac:dyDescent="0.2">
      <c r="C20" s="5" t="s">
        <v>1056</v>
      </c>
    </row>
    <row r="21" spans="1:8" x14ac:dyDescent="0.2">
      <c r="C21" s="5" t="s">
        <v>704</v>
      </c>
    </row>
    <row r="22" spans="1:8" x14ac:dyDescent="0.2">
      <c r="C22" s="5" t="s">
        <v>1078</v>
      </c>
    </row>
    <row r="23" spans="1:8" x14ac:dyDescent="0.2">
      <c r="C23" s="5" t="s">
        <v>1479</v>
      </c>
    </row>
    <row r="24" spans="1:8" x14ac:dyDescent="0.2">
      <c r="C24" s="5" t="s">
        <v>1480</v>
      </c>
    </row>
    <row r="25" spans="1:8" x14ac:dyDescent="0.2">
      <c r="B25" s="5" t="s">
        <v>1481</v>
      </c>
    </row>
    <row r="26" spans="1:8" x14ac:dyDescent="0.2">
      <c r="D26" s="5" t="s">
        <v>1056</v>
      </c>
    </row>
    <row r="27" spans="1:8" x14ac:dyDescent="0.2">
      <c r="D27" s="5" t="s">
        <v>704</v>
      </c>
    </row>
    <row r="28" spans="1:8" x14ac:dyDescent="0.2">
      <c r="D28" s="5" t="s">
        <v>1078</v>
      </c>
    </row>
    <row r="29" spans="1:8" x14ac:dyDescent="0.2">
      <c r="D29" s="5" t="s">
        <v>1479</v>
      </c>
    </row>
    <row r="30" spans="1:8" x14ac:dyDescent="0.2">
      <c r="D30" s="5" t="s">
        <v>1480</v>
      </c>
    </row>
  </sheetData>
  <autoFilter ref="A18:H18"/>
  <conditionalFormatting sqref="C17">
    <cfRule type="cellIs" dxfId="51" priority="1" stopIfTrue="1" operator="equal">
      <formula>$B$10</formula>
    </cfRule>
    <cfRule type="cellIs" dxfId="50"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tabColor indexed="11"/>
  </sheetPr>
  <dimension ref="A1:H30"/>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15</v>
      </c>
      <c r="C2" s="15">
        <f>IF(ISERROR(VALUE(TRIM(CLEAN(MID(C20,FIND("(",C20)+1,FIND("/",C20,1)-FIND("(",C20)-1))))),0,VALUE(TRIM(CLEAN(MID(C20,FIND("(",C20)+1,FIND("/",C20,1)-FIND("(",C20)-1)))))</f>
        <v>15</v>
      </c>
    </row>
    <row r="3" spans="1:5" ht="22.5" x14ac:dyDescent="0.2">
      <c r="A3" s="20" t="s">
        <v>15</v>
      </c>
      <c r="B3" s="21">
        <f>IF(ISERROR(VALUE(TRIM(CLEAN(MID(C21,FIND("/",C21)+1,FIND(")",C21,1)-FIND("/",C21)-1))))),0,VALUE(TRIM(CLEAN(MID(C21,FIND("/",C21)+1,FIND(")",C21,1)-FIND("/",C21)-1)))))</f>
        <v>3</v>
      </c>
      <c r="C3" s="16">
        <f>IF(ISERROR(VALUE(TRIM(CLEAN(MID(C21,FIND("(",C21)+1,FIND("/",C21,1)-FIND("(",C21)-1))))),0,VALUE(TRIM(CLEAN(MID(C21,FIND("(",C21)+1,FIND("/",C21,1)-FIND("(",C21)-1)))))</f>
        <v>3</v>
      </c>
      <c r="E3" s="29" t="s">
        <v>1</v>
      </c>
    </row>
    <row r="4" spans="1:5" ht="22.5" x14ac:dyDescent="0.2">
      <c r="A4" s="20" t="s">
        <v>16</v>
      </c>
      <c r="B4" s="21">
        <f>IF(ISERROR(VALUE(TRIM(CLEAN(MID(C23,FIND("/",C23)+1,FIND(")",C23,1)-FIND("/",C23)-1))))),0,VALUE(TRIM(CLEAN(MID(C23,FIND("/",C23)+1,FIND(")",C23,1)-FIND("/",C23)-1)))))</f>
        <v>77</v>
      </c>
      <c r="C4" s="16">
        <f>IF(ISERROR(VALUE(TRIM(CLEAN(MID(C23,FIND("(",C23)+1,FIND("/",C23,1)-FIND("(",C23)-1))))),0,VALUE(TRIM(CLEAN(MID(C23,FIND("(",C23)+1,FIND("/",C23,1)-FIND("(",C23)-1)))))</f>
        <v>77</v>
      </c>
      <c r="E4" s="29" t="s">
        <v>2</v>
      </c>
    </row>
    <row r="5" spans="1:5" ht="22.5" x14ac:dyDescent="0.2">
      <c r="A5" s="20" t="s">
        <v>17</v>
      </c>
      <c r="B5" s="21">
        <f>IF(ISERROR(VALUE(TRIM(CLEAN(MID(C24,FIND("/",C24)+1,FIND(")",C24,1)-FIND("/",C24)-1))))),0,VALUE(TRIM(CLEAN(MID(C24,FIND("/",C24)+1,FIND(")",C24,1)-FIND("/",C24)-1)))))</f>
        <v>30</v>
      </c>
      <c r="C5" s="16">
        <f>IF(ISERROR(VALUE(TRIM(CLEAN(MID(C24,FIND("(",C24)+1,FIND("/",C24,1)-FIND("(",C24)-1))))),0,VALUE(TRIM(CLEAN(MID(C24,FIND("(",C24)+1,FIND("/",C24,1)-FIND("(",C24)-1)))))</f>
        <v>30</v>
      </c>
    </row>
    <row r="6" spans="1:5" x14ac:dyDescent="0.2">
      <c r="A6" s="20"/>
      <c r="B6" s="21"/>
      <c r="C6" s="16"/>
    </row>
    <row r="7" spans="1:5" ht="13.5" thickBot="1" x14ac:dyDescent="0.25">
      <c r="A7" s="22" t="s">
        <v>13</v>
      </c>
      <c r="B7" s="23">
        <f>SUM(B2:B5)</f>
        <v>125</v>
      </c>
      <c r="C7" s="17">
        <f>SUM(C2:C5)</f>
        <v>125</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1483</v>
      </c>
    </row>
    <row r="20" spans="1:8" x14ac:dyDescent="0.2">
      <c r="C20" s="5" t="s">
        <v>1047</v>
      </c>
    </row>
    <row r="21" spans="1:8" x14ac:dyDescent="0.2">
      <c r="C21" s="5" t="s">
        <v>897</v>
      </c>
    </row>
    <row r="22" spans="1:8" x14ac:dyDescent="0.2">
      <c r="C22" s="5" t="s">
        <v>1048</v>
      </c>
    </row>
    <row r="23" spans="1:8" x14ac:dyDescent="0.2">
      <c r="C23" s="5" t="s">
        <v>1484</v>
      </c>
    </row>
    <row r="24" spans="1:8" x14ac:dyDescent="0.2">
      <c r="C24" s="5" t="s">
        <v>1485</v>
      </c>
    </row>
    <row r="25" spans="1:8" x14ac:dyDescent="0.2">
      <c r="B25" s="5" t="s">
        <v>1486</v>
      </c>
    </row>
    <row r="26" spans="1:8" x14ac:dyDescent="0.2">
      <c r="D26" s="5" t="s">
        <v>1047</v>
      </c>
    </row>
    <row r="27" spans="1:8" x14ac:dyDescent="0.2">
      <c r="D27" s="5" t="s">
        <v>897</v>
      </c>
    </row>
    <row r="28" spans="1:8" x14ac:dyDescent="0.2">
      <c r="D28" s="5" t="s">
        <v>1048</v>
      </c>
    </row>
    <row r="29" spans="1:8" x14ac:dyDescent="0.2">
      <c r="D29" s="5" t="s">
        <v>1484</v>
      </c>
    </row>
    <row r="30" spans="1:8" x14ac:dyDescent="0.2">
      <c r="D30" s="5" t="s">
        <v>1485</v>
      </c>
    </row>
  </sheetData>
  <autoFilter ref="A18:H18"/>
  <conditionalFormatting sqref="C17">
    <cfRule type="cellIs" dxfId="49" priority="1" stopIfTrue="1" operator="equal">
      <formula>$B$10</formula>
    </cfRule>
    <cfRule type="cellIs" dxfId="48"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tabColor indexed="11"/>
  </sheetPr>
  <dimension ref="A1:H6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80</v>
      </c>
      <c r="C2" s="15">
        <f>IF(ISERROR(VALUE(TRIM(CLEAN(MID(C20,FIND("(",C20)+1,FIND("/",C20,1)-FIND("(",C20)-1))))),0,VALUE(TRIM(CLEAN(MID(C20,FIND("(",C20)+1,FIND("/",C20,1)-FIND("(",C20)-1)))))</f>
        <v>80</v>
      </c>
    </row>
    <row r="3" spans="1:5" ht="22.5" x14ac:dyDescent="0.2">
      <c r="A3" s="20" t="s">
        <v>15</v>
      </c>
      <c r="B3" s="21">
        <f>IF(ISERROR(VALUE(TRIM(CLEAN(MID(C21,FIND("/",C21)+1,FIND(")",C21,1)-FIND("/",C21)-1))))),0,VALUE(TRIM(CLEAN(MID(C21,FIND("/",C21)+1,FIND(")",C21,1)-FIND("/",C21)-1)))))</f>
        <v>37</v>
      </c>
      <c r="C3" s="16">
        <f>IF(ISERROR(VALUE(TRIM(CLEAN(MID(C21,FIND("(",C21)+1,FIND("/",C21,1)-FIND("(",C21)-1))))),0,VALUE(TRIM(CLEAN(MID(C21,FIND("(",C21)+1,FIND("/",C21,1)-FIND("(",C21)-1)))))</f>
        <v>37</v>
      </c>
      <c r="E3" s="29" t="s">
        <v>1</v>
      </c>
    </row>
    <row r="4" spans="1:5" ht="22.5" x14ac:dyDescent="0.2">
      <c r="A4" s="20" t="s">
        <v>16</v>
      </c>
      <c r="B4" s="21">
        <f>IF(ISERROR(VALUE(TRIM(CLEAN(MID(C23,FIND("/",C23)+1,FIND(")",C23,1)-FIND("/",C23)-1))))),0,VALUE(TRIM(CLEAN(MID(C23,FIND("/",C23)+1,FIND(")",C23,1)-FIND("/",C23)-1)))))</f>
        <v>172</v>
      </c>
      <c r="C4" s="16">
        <f>IF(ISERROR(VALUE(TRIM(CLEAN(MID(C23,FIND("(",C23)+1,FIND("/",C23,1)-FIND("(",C23)-1))))),0,VALUE(TRIM(CLEAN(MID(C23,FIND("(",C23)+1,FIND("/",C23,1)-FIND("(",C23)-1)))))</f>
        <v>172</v>
      </c>
      <c r="E4" s="29" t="s">
        <v>2</v>
      </c>
    </row>
    <row r="5" spans="1:5" ht="22.5" x14ac:dyDescent="0.2">
      <c r="A5" s="20" t="s">
        <v>17</v>
      </c>
      <c r="B5" s="21">
        <f>IF(ISERROR(VALUE(TRIM(CLEAN(MID(C24,FIND("/",C24)+1,FIND(")",C24,1)-FIND("/",C24)-1))))),0,VALUE(TRIM(CLEAN(MID(C24,FIND("/",C24)+1,FIND(")",C24,1)-FIND("/",C24)-1)))))</f>
        <v>32</v>
      </c>
      <c r="C5" s="16">
        <f>IF(ISERROR(VALUE(TRIM(CLEAN(MID(C24,FIND("(",C24)+1,FIND("/",C24,1)-FIND("(",C24)-1))))),0,VALUE(TRIM(CLEAN(MID(C24,FIND("(",C24)+1,FIND("/",C24,1)-FIND("(",C24)-1)))))</f>
        <v>32</v>
      </c>
    </row>
    <row r="6" spans="1:5" x14ac:dyDescent="0.2">
      <c r="A6" s="20"/>
      <c r="B6" s="21"/>
      <c r="C6" s="16"/>
    </row>
    <row r="7" spans="1:5" ht="13.5" thickBot="1" x14ac:dyDescent="0.25">
      <c r="A7" s="22" t="s">
        <v>13</v>
      </c>
      <c r="B7" s="23">
        <f>SUM(B2:B5)</f>
        <v>321</v>
      </c>
      <c r="C7" s="17">
        <f>SUM(C2:C5)</f>
        <v>321</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1488</v>
      </c>
    </row>
    <row r="20" spans="1:8" x14ac:dyDescent="0.2">
      <c r="C20" s="5" t="s">
        <v>1489</v>
      </c>
    </row>
    <row r="21" spans="1:8" x14ac:dyDescent="0.2">
      <c r="C21" s="5" t="s">
        <v>1490</v>
      </c>
    </row>
    <row r="22" spans="1:8" x14ac:dyDescent="0.2">
      <c r="C22" s="5" t="s">
        <v>1491</v>
      </c>
    </row>
    <row r="23" spans="1:8" x14ac:dyDescent="0.2">
      <c r="C23" s="5" t="s">
        <v>1492</v>
      </c>
    </row>
    <row r="24" spans="1:8" x14ac:dyDescent="0.2">
      <c r="C24" s="5" t="s">
        <v>1192</v>
      </c>
    </row>
    <row r="25" spans="1:8" x14ac:dyDescent="0.2">
      <c r="B25" s="5" t="s">
        <v>1493</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1494</v>
      </c>
    </row>
    <row r="32" spans="1:8" x14ac:dyDescent="0.2">
      <c r="D32" s="5" t="s">
        <v>703</v>
      </c>
    </row>
    <row r="33" spans="2:4" x14ac:dyDescent="0.2">
      <c r="D33" s="5" t="s">
        <v>704</v>
      </c>
    </row>
    <row r="34" spans="2:4" x14ac:dyDescent="0.2">
      <c r="D34" s="5" t="s">
        <v>705</v>
      </c>
    </row>
    <row r="35" spans="2:4" x14ac:dyDescent="0.2">
      <c r="D35" s="5" t="s">
        <v>711</v>
      </c>
    </row>
    <row r="36" spans="2:4" x14ac:dyDescent="0.2">
      <c r="D36" s="5" t="s">
        <v>712</v>
      </c>
    </row>
    <row r="37" spans="2:4" x14ac:dyDescent="0.2">
      <c r="B37" s="5" t="s">
        <v>1495</v>
      </c>
    </row>
    <row r="38" spans="2:4" x14ac:dyDescent="0.2">
      <c r="D38" s="5" t="s">
        <v>703</v>
      </c>
    </row>
    <row r="39" spans="2:4" x14ac:dyDescent="0.2">
      <c r="D39" s="5" t="s">
        <v>704</v>
      </c>
    </row>
    <row r="40" spans="2:4" x14ac:dyDescent="0.2">
      <c r="D40" s="5" t="s">
        <v>705</v>
      </c>
    </row>
    <row r="41" spans="2:4" x14ac:dyDescent="0.2">
      <c r="D41" s="5" t="s">
        <v>711</v>
      </c>
    </row>
    <row r="42" spans="2:4" x14ac:dyDescent="0.2">
      <c r="D42" s="5" t="s">
        <v>712</v>
      </c>
    </row>
    <row r="43" spans="2:4" x14ac:dyDescent="0.2">
      <c r="B43" s="5" t="s">
        <v>1496</v>
      </c>
    </row>
    <row r="44" spans="2:4" x14ac:dyDescent="0.2">
      <c r="D44" s="5" t="s">
        <v>1497</v>
      </c>
    </row>
    <row r="45" spans="2:4" x14ac:dyDescent="0.2">
      <c r="D45" s="5" t="s">
        <v>1498</v>
      </c>
    </row>
    <row r="46" spans="2:4" x14ac:dyDescent="0.2">
      <c r="D46" s="5" t="s">
        <v>1499</v>
      </c>
    </row>
    <row r="47" spans="2:4" x14ac:dyDescent="0.2">
      <c r="D47" s="5" t="s">
        <v>1500</v>
      </c>
    </row>
    <row r="48" spans="2:4" x14ac:dyDescent="0.2">
      <c r="D48" s="5" t="s">
        <v>1192</v>
      </c>
    </row>
    <row r="49" spans="2:4" x14ac:dyDescent="0.2">
      <c r="B49" s="5" t="s">
        <v>1501</v>
      </c>
    </row>
    <row r="50" spans="2:4" x14ac:dyDescent="0.2">
      <c r="D50" s="5" t="s">
        <v>703</v>
      </c>
    </row>
    <row r="51" spans="2:4" x14ac:dyDescent="0.2">
      <c r="D51" s="5" t="s">
        <v>704</v>
      </c>
    </row>
    <row r="52" spans="2:4" x14ac:dyDescent="0.2">
      <c r="D52" s="5" t="s">
        <v>705</v>
      </c>
    </row>
    <row r="53" spans="2:4" x14ac:dyDescent="0.2">
      <c r="D53" s="5" t="s">
        <v>711</v>
      </c>
    </row>
    <row r="54" spans="2:4" x14ac:dyDescent="0.2">
      <c r="D54" s="5" t="s">
        <v>712</v>
      </c>
    </row>
    <row r="55" spans="2:4" x14ac:dyDescent="0.2">
      <c r="B55" s="5" t="s">
        <v>1502</v>
      </c>
    </row>
    <row r="56" spans="2:4" x14ac:dyDescent="0.2">
      <c r="D56" s="5" t="s">
        <v>703</v>
      </c>
    </row>
    <row r="57" spans="2:4" x14ac:dyDescent="0.2">
      <c r="D57" s="5" t="s">
        <v>704</v>
      </c>
    </row>
    <row r="58" spans="2:4" x14ac:dyDescent="0.2">
      <c r="D58" s="5" t="s">
        <v>705</v>
      </c>
    </row>
    <row r="59" spans="2:4" x14ac:dyDescent="0.2">
      <c r="D59" s="5" t="s">
        <v>711</v>
      </c>
    </row>
    <row r="60" spans="2:4" x14ac:dyDescent="0.2">
      <c r="D60" s="5" t="s">
        <v>712</v>
      </c>
    </row>
    <row r="61" spans="2:4" x14ac:dyDescent="0.2">
      <c r="B61" s="5" t="s">
        <v>1503</v>
      </c>
    </row>
    <row r="62" spans="2:4" x14ac:dyDescent="0.2">
      <c r="D62" s="5" t="s">
        <v>1000</v>
      </c>
    </row>
    <row r="63" spans="2:4" x14ac:dyDescent="0.2">
      <c r="D63" s="5" t="s">
        <v>859</v>
      </c>
    </row>
    <row r="64" spans="2:4" x14ac:dyDescent="0.2">
      <c r="D64" s="5" t="s">
        <v>883</v>
      </c>
    </row>
    <row r="65" spans="4:4" x14ac:dyDescent="0.2">
      <c r="D65" s="5" t="s">
        <v>1026</v>
      </c>
    </row>
    <row r="66" spans="4:4" x14ac:dyDescent="0.2">
      <c r="D66" s="5" t="s">
        <v>712</v>
      </c>
    </row>
  </sheetData>
  <autoFilter ref="A18:H18"/>
  <conditionalFormatting sqref="C17">
    <cfRule type="cellIs" dxfId="47" priority="1" stopIfTrue="1" operator="equal">
      <formula>$B$10</formula>
    </cfRule>
    <cfRule type="cellIs" dxfId="46"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tabColor indexed="11"/>
  </sheetPr>
  <dimension ref="A1:H52"/>
  <sheetViews>
    <sheetView topLeftCell="A25" workbookViewId="0">
      <selection activeCell="E43" sqref="E43"/>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20</v>
      </c>
      <c r="C2" s="15">
        <f>IF(ISERROR(VALUE(TRIM(CLEAN(MID(C20,FIND("(",C20)+1,FIND("/",C20,1)-FIND("(",C20)-1))))),0,VALUE(TRIM(CLEAN(MID(C20,FIND("(",C20)+1,FIND("/",C20,1)-FIND("(",C20)-1)))))</f>
        <v>18</v>
      </c>
    </row>
    <row r="3" spans="1:5" ht="22.5" x14ac:dyDescent="0.2">
      <c r="A3" s="20" t="s">
        <v>15</v>
      </c>
      <c r="B3" s="21">
        <f>IF(ISERROR(VALUE(TRIM(CLEAN(MID(C21,FIND("/",C21)+1,FIND(")",C21,1)-FIND("/",C21)-1))))),0,VALUE(TRIM(CLEAN(MID(C21,FIND("/",C21)+1,FIND(")",C21,1)-FIND("/",C21)-1)))))</f>
        <v>2</v>
      </c>
      <c r="C3" s="16">
        <f>IF(ISERROR(VALUE(TRIM(CLEAN(MID(C21,FIND("(",C21)+1,FIND("/",C21,1)-FIND("(",C21)-1))))),0,VALUE(TRIM(CLEAN(MID(C21,FIND("(",C21)+1,FIND("/",C21,1)-FIND("(",C21)-1)))))</f>
        <v>2</v>
      </c>
      <c r="E3" s="29" t="s">
        <v>1</v>
      </c>
    </row>
    <row r="4" spans="1:5" ht="22.5" x14ac:dyDescent="0.2">
      <c r="A4" s="20" t="s">
        <v>16</v>
      </c>
      <c r="B4" s="21">
        <f>IF(ISERROR(VALUE(TRIM(CLEAN(MID(C23,FIND("/",C23)+1,FIND(")",C23,1)-FIND("/",C23)-1))))),0,VALUE(TRIM(CLEAN(MID(C23,FIND("/",C23)+1,FIND(")",C23,1)-FIND("/",C23)-1)))))</f>
        <v>18</v>
      </c>
      <c r="C4" s="16">
        <f>IF(ISERROR(VALUE(TRIM(CLEAN(MID(C23,FIND("(",C23)+1,FIND("/",C23,1)-FIND("(",C23)-1))))),0,VALUE(TRIM(CLEAN(MID(C23,FIND("(",C23)+1,FIND("/",C23,1)-FIND("(",C23)-1)))))</f>
        <v>16</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40</v>
      </c>
      <c r="C7" s="17">
        <f>SUM(C2:C5)</f>
        <v>36</v>
      </c>
    </row>
    <row r="8" spans="1:5" x14ac:dyDescent="0.2">
      <c r="A8" s="12"/>
      <c r="B8" s="7"/>
      <c r="C8" s="7"/>
    </row>
    <row r="9" spans="1:5" ht="13.5" thickBot="1" x14ac:dyDescent="0.25">
      <c r="A9" s="10"/>
      <c r="B9" s="7"/>
      <c r="C9" s="7"/>
    </row>
    <row r="10" spans="1:5" ht="24" thickTop="1" thickBot="1" x14ac:dyDescent="0.25">
      <c r="A10" s="24" t="s">
        <v>18</v>
      </c>
      <c r="B10" s="26">
        <f>B7-C7</f>
        <v>4</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4</v>
      </c>
    </row>
    <row r="16" spans="1:5" ht="23.25" thickBot="1" x14ac:dyDescent="0.25">
      <c r="A16" s="25" t="s">
        <v>20</v>
      </c>
      <c r="B16" s="28"/>
      <c r="C16" s="28">
        <f t="shared" si="0"/>
        <v>0</v>
      </c>
    </row>
    <row r="17" spans="1:8" x14ac:dyDescent="0.2">
      <c r="C17" s="5">
        <f>SUM(C11:C16)</f>
        <v>4</v>
      </c>
    </row>
    <row r="18" spans="1:8" customFormat="1" ht="23.25" x14ac:dyDescent="0.25">
      <c r="A18" s="4" t="s">
        <v>3</v>
      </c>
      <c r="B18" s="6" t="s">
        <v>4</v>
      </c>
      <c r="C18" s="8" t="s">
        <v>6</v>
      </c>
      <c r="D18" s="8" t="s">
        <v>7</v>
      </c>
      <c r="E18" s="8" t="s">
        <v>5</v>
      </c>
      <c r="F18" s="3" t="s">
        <v>10</v>
      </c>
      <c r="G18" s="1" t="s">
        <v>9</v>
      </c>
      <c r="H18" s="2" t="s">
        <v>8</v>
      </c>
    </row>
    <row r="19" spans="1:8" x14ac:dyDescent="0.2">
      <c r="A19" s="5" t="s">
        <v>1505</v>
      </c>
    </row>
    <row r="20" spans="1:8" x14ac:dyDescent="0.2">
      <c r="C20" s="5" t="s">
        <v>1506</v>
      </c>
    </row>
    <row r="21" spans="1:8" x14ac:dyDescent="0.2">
      <c r="C21" s="5" t="s">
        <v>834</v>
      </c>
    </row>
    <row r="22" spans="1:8" x14ac:dyDescent="0.2">
      <c r="C22" s="5" t="s">
        <v>1507</v>
      </c>
    </row>
    <row r="23" spans="1:8" x14ac:dyDescent="0.2">
      <c r="C23" s="5" t="s">
        <v>1508</v>
      </c>
    </row>
    <row r="24" spans="1:8" x14ac:dyDescent="0.2">
      <c r="C24" s="5" t="s">
        <v>712</v>
      </c>
    </row>
    <row r="25" spans="1:8" x14ac:dyDescent="0.2">
      <c r="B25" s="5" t="s">
        <v>1509</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1510</v>
      </c>
    </row>
    <row r="32" spans="1:8" x14ac:dyDescent="0.2">
      <c r="D32" s="5" t="s">
        <v>703</v>
      </c>
    </row>
    <row r="33" spans="2:8" x14ac:dyDescent="0.2">
      <c r="D33" s="5" t="s">
        <v>704</v>
      </c>
    </row>
    <row r="34" spans="2:8" x14ac:dyDescent="0.2">
      <c r="D34" s="5" t="s">
        <v>705</v>
      </c>
    </row>
    <row r="35" spans="2:8" x14ac:dyDescent="0.2">
      <c r="D35" s="5" t="s">
        <v>711</v>
      </c>
    </row>
    <row r="36" spans="2:8" x14ac:dyDescent="0.2">
      <c r="D36" s="5" t="s">
        <v>712</v>
      </c>
    </row>
    <row r="37" spans="2:8" x14ac:dyDescent="0.2">
      <c r="B37" s="5" t="s">
        <v>1511</v>
      </c>
    </row>
    <row r="38" spans="2:8" x14ac:dyDescent="0.2">
      <c r="D38" s="5" t="s">
        <v>703</v>
      </c>
    </row>
    <row r="39" spans="2:8" x14ac:dyDescent="0.2">
      <c r="D39" s="5" t="s">
        <v>704</v>
      </c>
    </row>
    <row r="40" spans="2:8" x14ac:dyDescent="0.2">
      <c r="D40" s="5" t="s">
        <v>705</v>
      </c>
    </row>
    <row r="41" spans="2:8" x14ac:dyDescent="0.2">
      <c r="D41" s="5" t="s">
        <v>711</v>
      </c>
    </row>
    <row r="42" spans="2:8" x14ac:dyDescent="0.2">
      <c r="D42" s="5" t="s">
        <v>712</v>
      </c>
    </row>
    <row r="43" spans="2:8" x14ac:dyDescent="0.2">
      <c r="B43" s="5" t="s">
        <v>1512</v>
      </c>
    </row>
    <row r="44" spans="2:8" x14ac:dyDescent="0.2">
      <c r="D44" s="5" t="s">
        <v>1096</v>
      </c>
    </row>
    <row r="45" spans="2:8" x14ac:dyDescent="0.2">
      <c r="E45" s="5" t="s">
        <v>1513</v>
      </c>
      <c r="F45" s="5">
        <v>224</v>
      </c>
      <c r="G45" s="5" t="s">
        <v>19</v>
      </c>
      <c r="H45" s="5" t="s">
        <v>1925</v>
      </c>
    </row>
    <row r="46" spans="2:8" x14ac:dyDescent="0.2">
      <c r="E46" s="5" t="s">
        <v>1514</v>
      </c>
      <c r="F46" s="5">
        <v>302</v>
      </c>
      <c r="G46" s="5" t="s">
        <v>19</v>
      </c>
      <c r="H46" s="5" t="s">
        <v>1925</v>
      </c>
    </row>
    <row r="47" spans="2:8" x14ac:dyDescent="0.2">
      <c r="D47" s="5" t="s">
        <v>834</v>
      </c>
    </row>
    <row r="48" spans="2:8" x14ac:dyDescent="0.2">
      <c r="D48" s="5" t="s">
        <v>1406</v>
      </c>
    </row>
    <row r="49" spans="4:8" x14ac:dyDescent="0.2">
      <c r="D49" s="5" t="s">
        <v>1508</v>
      </c>
    </row>
    <row r="50" spans="4:8" x14ac:dyDescent="0.2">
      <c r="E50" s="5" t="s">
        <v>1515</v>
      </c>
      <c r="F50" s="5">
        <v>224</v>
      </c>
      <c r="G50" s="5" t="s">
        <v>19</v>
      </c>
      <c r="H50" s="5" t="s">
        <v>1925</v>
      </c>
    </row>
    <row r="51" spans="4:8" x14ac:dyDescent="0.2">
      <c r="E51" s="5" t="s">
        <v>1516</v>
      </c>
      <c r="F51" s="5">
        <v>302</v>
      </c>
      <c r="G51" s="5" t="s">
        <v>19</v>
      </c>
      <c r="H51" s="5" t="s">
        <v>1925</v>
      </c>
    </row>
    <row r="52" spans="4:8" x14ac:dyDescent="0.2">
      <c r="D52" s="5" t="s">
        <v>712</v>
      </c>
    </row>
  </sheetData>
  <autoFilter ref="A18:H18"/>
  <conditionalFormatting sqref="C17">
    <cfRule type="cellIs" dxfId="45" priority="1" stopIfTrue="1" operator="equal">
      <formula>$B$10</formula>
    </cfRule>
    <cfRule type="cellIs" dxfId="44"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tabColor indexed="11"/>
  </sheetPr>
  <dimension ref="A1:H30"/>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v>
      </c>
      <c r="C2" s="15">
        <f>IF(ISERROR(VALUE(TRIM(CLEAN(MID(C20,FIND("(",C20)+1,FIND("/",C20,1)-FIND("(",C20)-1))))),0,VALUE(TRIM(CLEAN(MID(C20,FIND("(",C20)+1,FIND("/",C20,1)-FIND("(",C20)-1)))))</f>
        <v>1</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0</v>
      </c>
      <c r="C4" s="16">
        <f>IF(ISERROR(VALUE(TRIM(CLEAN(MID(C23,FIND("(",C23)+1,FIND("/",C23,1)-FIND("(",C23)-1))))),0,VALUE(TRIM(CLEAN(MID(C23,FIND("(",C23)+1,FIND("/",C23,1)-FIND("(",C23)-1)))))</f>
        <v>0</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1</v>
      </c>
      <c r="C7" s="17">
        <f>SUM(C2:C5)</f>
        <v>1</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1518</v>
      </c>
    </row>
    <row r="20" spans="1:8" x14ac:dyDescent="0.2">
      <c r="C20" s="5" t="s">
        <v>703</v>
      </c>
    </row>
    <row r="21" spans="1:8" x14ac:dyDescent="0.2">
      <c r="C21" s="5" t="s">
        <v>704</v>
      </c>
    </row>
    <row r="22" spans="1:8" x14ac:dyDescent="0.2">
      <c r="C22" s="5" t="s">
        <v>705</v>
      </c>
    </row>
    <row r="23" spans="1:8" x14ac:dyDescent="0.2">
      <c r="C23" s="5" t="s">
        <v>711</v>
      </c>
    </row>
    <row r="24" spans="1:8" x14ac:dyDescent="0.2">
      <c r="C24" s="5" t="s">
        <v>712</v>
      </c>
    </row>
    <row r="25" spans="1:8" x14ac:dyDescent="0.2">
      <c r="B25" s="5" t="s">
        <v>1519</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sheetData>
  <autoFilter ref="A18:H18"/>
  <conditionalFormatting sqref="C17">
    <cfRule type="cellIs" dxfId="43" priority="1" stopIfTrue="1" operator="equal">
      <formula>$B$10</formula>
    </cfRule>
    <cfRule type="cellIs" dxfId="42"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6</v>
      </c>
      <c r="C2" s="15">
        <f>IF(ISERROR(VALUE(TRIM(CLEAN(MID(C20,FIND("(",C20)+1,FIND("/",C20,1)-FIND("(",C20)-1))))),0,VALUE(TRIM(CLEAN(MID(C20,FIND("(",C20)+1,FIND("/",C20,1)-FIND("(",C20)-1)))))</f>
        <v>6</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26</v>
      </c>
      <c r="C4" s="16">
        <f>IF(ISERROR(VALUE(TRIM(CLEAN(MID(C23,FIND("(",C23)+1,FIND("/",C23,1)-FIND("(",C23)-1))))),0,VALUE(TRIM(CLEAN(MID(C23,FIND("(",C23)+1,FIND("/",C23,1)-FIND("(",C23)-1)))))</f>
        <v>26</v>
      </c>
      <c r="E4" s="29" t="s">
        <v>2</v>
      </c>
    </row>
    <row r="5" spans="1:5" ht="22.5" x14ac:dyDescent="0.2">
      <c r="A5" s="20" t="s">
        <v>17</v>
      </c>
      <c r="B5" s="21">
        <f>IF(ISERROR(VALUE(TRIM(CLEAN(MID(C24,FIND("/",C24)+1,FIND(")",C24,1)-FIND("/",C24)-1))))),0,VALUE(TRIM(CLEAN(MID(C24,FIND("/",C24)+1,FIND(")",C24,1)-FIND("/",C24)-1)))))</f>
        <v>11</v>
      </c>
      <c r="C5" s="16">
        <f>IF(ISERROR(VALUE(TRIM(CLEAN(MID(C24,FIND("(",C24)+1,FIND("/",C24,1)-FIND("(",C24)-1))))),0,VALUE(TRIM(CLEAN(MID(C24,FIND("(",C24)+1,FIND("/",C24,1)-FIND("(",C24)-1)))))</f>
        <v>11</v>
      </c>
    </row>
    <row r="6" spans="1:5" x14ac:dyDescent="0.2">
      <c r="A6" s="20"/>
      <c r="B6" s="21"/>
      <c r="C6" s="16"/>
    </row>
    <row r="7" spans="1:5" ht="13.5" thickBot="1" x14ac:dyDescent="0.25">
      <c r="A7" s="22" t="s">
        <v>13</v>
      </c>
      <c r="B7" s="23">
        <f>SUM(B2:B5)</f>
        <v>43</v>
      </c>
      <c r="C7" s="17">
        <f>SUM(C2:C5)</f>
        <v>43</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1521</v>
      </c>
    </row>
    <row r="20" spans="1:8" x14ac:dyDescent="0.2">
      <c r="C20" s="5" t="s">
        <v>886</v>
      </c>
    </row>
    <row r="21" spans="1:8" x14ac:dyDescent="0.2">
      <c r="C21" s="5" t="s">
        <v>704</v>
      </c>
    </row>
    <row r="22" spans="1:8" x14ac:dyDescent="0.2">
      <c r="C22" s="5" t="s">
        <v>887</v>
      </c>
    </row>
    <row r="23" spans="1:8" x14ac:dyDescent="0.2">
      <c r="C23" s="5" t="s">
        <v>1152</v>
      </c>
    </row>
    <row r="24" spans="1:8" x14ac:dyDescent="0.2">
      <c r="C24" s="5" t="s">
        <v>801</v>
      </c>
    </row>
    <row r="25" spans="1:8" x14ac:dyDescent="0.2">
      <c r="B25" s="5" t="s">
        <v>1522</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1523</v>
      </c>
    </row>
    <row r="32" spans="1:8" x14ac:dyDescent="0.2">
      <c r="D32" s="5" t="s">
        <v>864</v>
      </c>
    </row>
    <row r="33" spans="4:4" x14ac:dyDescent="0.2">
      <c r="D33" s="5" t="s">
        <v>704</v>
      </c>
    </row>
    <row r="34" spans="4:4" x14ac:dyDescent="0.2">
      <c r="D34" s="5" t="s">
        <v>865</v>
      </c>
    </row>
    <row r="35" spans="4:4" x14ac:dyDescent="0.2">
      <c r="D35" s="5" t="s">
        <v>1152</v>
      </c>
    </row>
    <row r="36" spans="4:4" x14ac:dyDescent="0.2">
      <c r="D36" s="5" t="s">
        <v>801</v>
      </c>
    </row>
  </sheetData>
  <autoFilter ref="A18:H18"/>
  <conditionalFormatting sqref="C17">
    <cfRule type="cellIs" dxfId="41" priority="1" stopIfTrue="1" operator="equal">
      <formula>$B$10</formula>
    </cfRule>
    <cfRule type="cellIs" dxfId="40"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tabColor indexed="11"/>
  </sheetPr>
  <dimension ref="A1:H30"/>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7</v>
      </c>
      <c r="C2" s="15">
        <f>IF(ISERROR(VALUE(TRIM(CLEAN(MID(C20,FIND("(",C20)+1,FIND("/",C20,1)-FIND("(",C20)-1))))),0,VALUE(TRIM(CLEAN(MID(C20,FIND("(",C20)+1,FIND("/",C20,1)-FIND("(",C20)-1)))))</f>
        <v>7</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6</v>
      </c>
      <c r="C4" s="16">
        <f>IF(ISERROR(VALUE(TRIM(CLEAN(MID(C23,FIND("(",C23)+1,FIND("/",C23,1)-FIND("(",C23)-1))))),0,VALUE(TRIM(CLEAN(MID(C23,FIND("(",C23)+1,FIND("/",C23,1)-FIND("(",C23)-1)))))</f>
        <v>6</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13</v>
      </c>
      <c r="C7" s="17">
        <f>SUM(C2:C5)</f>
        <v>13</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1525</v>
      </c>
    </row>
    <row r="20" spans="1:8" x14ac:dyDescent="0.2">
      <c r="C20" s="5" t="s">
        <v>1012</v>
      </c>
    </row>
    <row r="21" spans="1:8" x14ac:dyDescent="0.2">
      <c r="C21" s="5" t="s">
        <v>704</v>
      </c>
    </row>
    <row r="22" spans="1:8" x14ac:dyDescent="0.2">
      <c r="C22" s="5" t="s">
        <v>1013</v>
      </c>
    </row>
    <row r="23" spans="1:8" x14ac:dyDescent="0.2">
      <c r="C23" s="5" t="s">
        <v>727</v>
      </c>
    </row>
    <row r="24" spans="1:8" x14ac:dyDescent="0.2">
      <c r="C24" s="5" t="s">
        <v>712</v>
      </c>
    </row>
    <row r="25" spans="1:8" x14ac:dyDescent="0.2">
      <c r="B25" s="5" t="s">
        <v>1526</v>
      </c>
    </row>
    <row r="26" spans="1:8" x14ac:dyDescent="0.2">
      <c r="D26" s="5" t="s">
        <v>1012</v>
      </c>
    </row>
    <row r="27" spans="1:8" x14ac:dyDescent="0.2">
      <c r="D27" s="5" t="s">
        <v>704</v>
      </c>
    </row>
    <row r="28" spans="1:8" x14ac:dyDescent="0.2">
      <c r="D28" s="5" t="s">
        <v>1013</v>
      </c>
    </row>
    <row r="29" spans="1:8" x14ac:dyDescent="0.2">
      <c r="D29" s="5" t="s">
        <v>727</v>
      </c>
    </row>
    <row r="30" spans="1:8" x14ac:dyDescent="0.2">
      <c r="D30" s="5" t="s">
        <v>712</v>
      </c>
    </row>
  </sheetData>
  <autoFilter ref="A18:H18"/>
  <conditionalFormatting sqref="C17">
    <cfRule type="cellIs" dxfId="39" priority="1" stopIfTrue="1" operator="equal">
      <formula>$B$10</formula>
    </cfRule>
    <cfRule type="cellIs" dxfId="38"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tabColor indexed="11"/>
  </sheetPr>
  <dimension ref="A1:H9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132</v>
      </c>
      <c r="C2" s="15">
        <f>IF(ISERROR(VALUE(TRIM(CLEAN(MID(C20,FIND("(",C20)+1,FIND("/",C20,1)-FIND("(",C20)-1))))),0,VALUE(TRIM(CLEAN(MID(C20,FIND("(",C20)+1,FIND("/",C20,1)-FIND("(",C20)-1)))))</f>
        <v>132</v>
      </c>
    </row>
    <row r="3" spans="1:5" ht="22.5" x14ac:dyDescent="0.2">
      <c r="A3" s="20" t="s">
        <v>15</v>
      </c>
      <c r="B3" s="21">
        <f>IF(ISERROR(VALUE(TRIM(CLEAN(MID(C21,FIND("/",C21)+1,FIND(")",C21,1)-FIND("/",C21)-1))))),0,VALUE(TRIM(CLEAN(MID(C21,FIND("/",C21)+1,FIND(")",C21,1)-FIND("/",C21)-1)))))</f>
        <v>6</v>
      </c>
      <c r="C3" s="16">
        <f>IF(ISERROR(VALUE(TRIM(CLEAN(MID(C21,FIND("(",C21)+1,FIND("/",C21,1)-FIND("(",C21)-1))))),0,VALUE(TRIM(CLEAN(MID(C21,FIND("(",C21)+1,FIND("/",C21,1)-FIND("(",C21)-1)))))</f>
        <v>6</v>
      </c>
      <c r="E3" s="29" t="s">
        <v>1</v>
      </c>
    </row>
    <row r="4" spans="1:5" ht="22.5" x14ac:dyDescent="0.2">
      <c r="A4" s="20" t="s">
        <v>16</v>
      </c>
      <c r="B4" s="21">
        <f>IF(ISERROR(VALUE(TRIM(CLEAN(MID(C23,FIND("/",C23)+1,FIND(")",C23,1)-FIND("/",C23)-1))))),0,VALUE(TRIM(CLEAN(MID(C23,FIND("/",C23)+1,FIND(")",C23,1)-FIND("/",C23)-1)))))</f>
        <v>190</v>
      </c>
      <c r="C4" s="16">
        <f>IF(ISERROR(VALUE(TRIM(CLEAN(MID(C23,FIND("(",C23)+1,FIND("/",C23,1)-FIND("(",C23)-1))))),0,VALUE(TRIM(CLEAN(MID(C23,FIND("(",C23)+1,FIND("/",C23,1)-FIND("(",C23)-1)))))</f>
        <v>190</v>
      </c>
      <c r="E4" s="29" t="s">
        <v>2</v>
      </c>
    </row>
    <row r="5" spans="1:5" ht="22.5" x14ac:dyDescent="0.2">
      <c r="A5" s="20" t="s">
        <v>17</v>
      </c>
      <c r="B5" s="21">
        <f>IF(ISERROR(VALUE(TRIM(CLEAN(MID(C24,FIND("/",C24)+1,FIND(")",C24,1)-FIND("/",C24)-1))))),0,VALUE(TRIM(CLEAN(MID(C24,FIND("/",C24)+1,FIND(")",C24,1)-FIND("/",C24)-1)))))</f>
        <v>40</v>
      </c>
      <c r="C5" s="16">
        <f>IF(ISERROR(VALUE(TRIM(CLEAN(MID(C24,FIND("(",C24)+1,FIND("/",C24,1)-FIND("(",C24)-1))))),0,VALUE(TRIM(CLEAN(MID(C24,FIND("(",C24)+1,FIND("/",C24,1)-FIND("(",C24)-1)))))</f>
        <v>40</v>
      </c>
    </row>
    <row r="6" spans="1:5" x14ac:dyDescent="0.2">
      <c r="A6" s="20"/>
      <c r="B6" s="21"/>
      <c r="C6" s="16"/>
    </row>
    <row r="7" spans="1:5" ht="13.5" thickBot="1" x14ac:dyDescent="0.25">
      <c r="A7" s="22" t="s">
        <v>13</v>
      </c>
      <c r="B7" s="23">
        <f>SUM(B2:B5)</f>
        <v>368</v>
      </c>
      <c r="C7" s="17">
        <f>SUM(C2:C5)</f>
        <v>368</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1528</v>
      </c>
    </row>
    <row r="20" spans="1:8" x14ac:dyDescent="0.2">
      <c r="C20" s="5" t="s">
        <v>1529</v>
      </c>
    </row>
    <row r="21" spans="1:8" x14ac:dyDescent="0.2">
      <c r="C21" s="5" t="s">
        <v>1455</v>
      </c>
    </row>
    <row r="22" spans="1:8" x14ac:dyDescent="0.2">
      <c r="C22" s="5" t="s">
        <v>1530</v>
      </c>
    </row>
    <row r="23" spans="1:8" x14ac:dyDescent="0.2">
      <c r="C23" s="5" t="s">
        <v>1531</v>
      </c>
    </row>
    <row r="24" spans="1:8" x14ac:dyDescent="0.2">
      <c r="C24" s="5" t="s">
        <v>1532</v>
      </c>
    </row>
    <row r="25" spans="1:8" x14ac:dyDescent="0.2">
      <c r="B25" s="5" t="s">
        <v>1533</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1534</v>
      </c>
    </row>
    <row r="32" spans="1:8" x14ac:dyDescent="0.2">
      <c r="D32" s="5" t="s">
        <v>1066</v>
      </c>
    </row>
    <row r="33" spans="2:4" x14ac:dyDescent="0.2">
      <c r="D33" s="5" t="s">
        <v>859</v>
      </c>
    </row>
    <row r="34" spans="2:4" x14ac:dyDescent="0.2">
      <c r="D34" s="5" t="s">
        <v>1072</v>
      </c>
    </row>
    <row r="35" spans="2:4" x14ac:dyDescent="0.2">
      <c r="D35" s="5" t="s">
        <v>1068</v>
      </c>
    </row>
    <row r="36" spans="2:4" x14ac:dyDescent="0.2">
      <c r="D36" s="5" t="s">
        <v>707</v>
      </c>
    </row>
    <row r="37" spans="2:4" x14ac:dyDescent="0.2">
      <c r="B37" s="5" t="s">
        <v>1535</v>
      </c>
    </row>
    <row r="38" spans="2:4" x14ac:dyDescent="0.2">
      <c r="D38" s="5" t="s">
        <v>703</v>
      </c>
    </row>
    <row r="39" spans="2:4" x14ac:dyDescent="0.2">
      <c r="D39" s="5" t="s">
        <v>704</v>
      </c>
    </row>
    <row r="40" spans="2:4" x14ac:dyDescent="0.2">
      <c r="D40" s="5" t="s">
        <v>705</v>
      </c>
    </row>
    <row r="41" spans="2:4" x14ac:dyDescent="0.2">
      <c r="D41" s="5" t="s">
        <v>711</v>
      </c>
    </row>
    <row r="42" spans="2:4" x14ac:dyDescent="0.2">
      <c r="D42" s="5" t="s">
        <v>712</v>
      </c>
    </row>
    <row r="43" spans="2:4" x14ac:dyDescent="0.2">
      <c r="B43" s="5" t="s">
        <v>1536</v>
      </c>
    </row>
    <row r="44" spans="2:4" x14ac:dyDescent="0.2">
      <c r="D44" s="5" t="s">
        <v>1066</v>
      </c>
    </row>
    <row r="45" spans="2:4" x14ac:dyDescent="0.2">
      <c r="D45" s="5" t="s">
        <v>859</v>
      </c>
    </row>
    <row r="46" spans="2:4" x14ac:dyDescent="0.2">
      <c r="D46" s="5" t="s">
        <v>1072</v>
      </c>
    </row>
    <row r="47" spans="2:4" x14ac:dyDescent="0.2">
      <c r="D47" s="5" t="s">
        <v>1068</v>
      </c>
    </row>
    <row r="48" spans="2:4" x14ac:dyDescent="0.2">
      <c r="D48" s="5" t="s">
        <v>707</v>
      </c>
    </row>
    <row r="49" spans="2:4" x14ac:dyDescent="0.2">
      <c r="B49" s="5" t="s">
        <v>1537</v>
      </c>
    </row>
    <row r="50" spans="2:4" x14ac:dyDescent="0.2">
      <c r="D50" s="5" t="s">
        <v>703</v>
      </c>
    </row>
    <row r="51" spans="2:4" x14ac:dyDescent="0.2">
      <c r="D51" s="5" t="s">
        <v>704</v>
      </c>
    </row>
    <row r="52" spans="2:4" x14ac:dyDescent="0.2">
      <c r="D52" s="5" t="s">
        <v>705</v>
      </c>
    </row>
    <row r="53" spans="2:4" x14ac:dyDescent="0.2">
      <c r="D53" s="5" t="s">
        <v>711</v>
      </c>
    </row>
    <row r="54" spans="2:4" x14ac:dyDescent="0.2">
      <c r="D54" s="5" t="s">
        <v>712</v>
      </c>
    </row>
    <row r="55" spans="2:4" x14ac:dyDescent="0.2">
      <c r="B55" s="5" t="s">
        <v>1538</v>
      </c>
    </row>
    <row r="56" spans="2:4" x14ac:dyDescent="0.2">
      <c r="D56" s="5" t="s">
        <v>1066</v>
      </c>
    </row>
    <row r="57" spans="2:4" x14ac:dyDescent="0.2">
      <c r="D57" s="5" t="s">
        <v>859</v>
      </c>
    </row>
    <row r="58" spans="2:4" x14ac:dyDescent="0.2">
      <c r="D58" s="5" t="s">
        <v>1072</v>
      </c>
    </row>
    <row r="59" spans="2:4" x14ac:dyDescent="0.2">
      <c r="D59" s="5" t="s">
        <v>1068</v>
      </c>
    </row>
    <row r="60" spans="2:4" x14ac:dyDescent="0.2">
      <c r="D60" s="5" t="s">
        <v>707</v>
      </c>
    </row>
    <row r="61" spans="2:4" x14ac:dyDescent="0.2">
      <c r="B61" s="5" t="s">
        <v>1539</v>
      </c>
    </row>
    <row r="62" spans="2:4" x14ac:dyDescent="0.2">
      <c r="D62" s="5" t="s">
        <v>703</v>
      </c>
    </row>
    <row r="63" spans="2:4" x14ac:dyDescent="0.2">
      <c r="D63" s="5" t="s">
        <v>704</v>
      </c>
    </row>
    <row r="64" spans="2:4" x14ac:dyDescent="0.2">
      <c r="D64" s="5" t="s">
        <v>705</v>
      </c>
    </row>
    <row r="65" spans="2:4" x14ac:dyDescent="0.2">
      <c r="D65" s="5" t="s">
        <v>711</v>
      </c>
    </row>
    <row r="66" spans="2:4" x14ac:dyDescent="0.2">
      <c r="D66" s="5" t="s">
        <v>712</v>
      </c>
    </row>
    <row r="67" spans="2:4" x14ac:dyDescent="0.2">
      <c r="B67" s="5" t="s">
        <v>1540</v>
      </c>
    </row>
    <row r="68" spans="2:4" x14ac:dyDescent="0.2">
      <c r="D68" s="5" t="s">
        <v>1066</v>
      </c>
    </row>
    <row r="69" spans="2:4" x14ac:dyDescent="0.2">
      <c r="D69" s="5" t="s">
        <v>859</v>
      </c>
    </row>
    <row r="70" spans="2:4" x14ac:dyDescent="0.2">
      <c r="D70" s="5" t="s">
        <v>1072</v>
      </c>
    </row>
    <row r="71" spans="2:4" x14ac:dyDescent="0.2">
      <c r="D71" s="5" t="s">
        <v>1068</v>
      </c>
    </row>
    <row r="72" spans="2:4" x14ac:dyDescent="0.2">
      <c r="D72" s="5" t="s">
        <v>707</v>
      </c>
    </row>
    <row r="73" spans="2:4" x14ac:dyDescent="0.2">
      <c r="B73" s="5" t="s">
        <v>1541</v>
      </c>
    </row>
    <row r="74" spans="2:4" x14ac:dyDescent="0.2">
      <c r="D74" s="5" t="s">
        <v>703</v>
      </c>
    </row>
    <row r="75" spans="2:4" x14ac:dyDescent="0.2">
      <c r="D75" s="5" t="s">
        <v>704</v>
      </c>
    </row>
    <row r="76" spans="2:4" x14ac:dyDescent="0.2">
      <c r="D76" s="5" t="s">
        <v>705</v>
      </c>
    </row>
    <row r="77" spans="2:4" x14ac:dyDescent="0.2">
      <c r="D77" s="5" t="s">
        <v>711</v>
      </c>
    </row>
    <row r="78" spans="2:4" x14ac:dyDescent="0.2">
      <c r="D78" s="5" t="s">
        <v>712</v>
      </c>
    </row>
    <row r="79" spans="2:4" x14ac:dyDescent="0.2">
      <c r="B79" s="5" t="s">
        <v>1542</v>
      </c>
    </row>
    <row r="80" spans="2:4" x14ac:dyDescent="0.2">
      <c r="D80" s="5" t="s">
        <v>703</v>
      </c>
    </row>
    <row r="81" spans="2:4" x14ac:dyDescent="0.2">
      <c r="D81" s="5" t="s">
        <v>704</v>
      </c>
    </row>
    <row r="82" spans="2:4" x14ac:dyDescent="0.2">
      <c r="D82" s="5" t="s">
        <v>705</v>
      </c>
    </row>
    <row r="83" spans="2:4" x14ac:dyDescent="0.2">
      <c r="D83" s="5" t="s">
        <v>711</v>
      </c>
    </row>
    <row r="84" spans="2:4" x14ac:dyDescent="0.2">
      <c r="D84" s="5" t="s">
        <v>712</v>
      </c>
    </row>
    <row r="85" spans="2:4" x14ac:dyDescent="0.2">
      <c r="B85" s="5" t="s">
        <v>1543</v>
      </c>
    </row>
    <row r="86" spans="2:4" x14ac:dyDescent="0.2">
      <c r="D86" s="5" t="s">
        <v>936</v>
      </c>
    </row>
    <row r="87" spans="2:4" x14ac:dyDescent="0.2">
      <c r="D87" s="5" t="s">
        <v>834</v>
      </c>
    </row>
    <row r="88" spans="2:4" x14ac:dyDescent="0.2">
      <c r="D88" s="5" t="s">
        <v>937</v>
      </c>
    </row>
    <row r="89" spans="2:4" x14ac:dyDescent="0.2">
      <c r="D89" s="5" t="s">
        <v>1544</v>
      </c>
    </row>
    <row r="90" spans="2:4" x14ac:dyDescent="0.2">
      <c r="D90" s="5" t="s">
        <v>1192</v>
      </c>
    </row>
    <row r="91" spans="2:4" x14ac:dyDescent="0.2">
      <c r="B91" s="5" t="s">
        <v>1545</v>
      </c>
    </row>
    <row r="92" spans="2:4" x14ac:dyDescent="0.2">
      <c r="D92" s="5" t="s">
        <v>703</v>
      </c>
    </row>
    <row r="93" spans="2:4" x14ac:dyDescent="0.2">
      <c r="D93" s="5" t="s">
        <v>704</v>
      </c>
    </row>
    <row r="94" spans="2:4" x14ac:dyDescent="0.2">
      <c r="D94" s="5" t="s">
        <v>705</v>
      </c>
    </row>
    <row r="95" spans="2:4" x14ac:dyDescent="0.2">
      <c r="D95" s="5" t="s">
        <v>711</v>
      </c>
    </row>
    <row r="96" spans="2:4" x14ac:dyDescent="0.2">
      <c r="D96" s="5" t="s">
        <v>712</v>
      </c>
    </row>
  </sheetData>
  <autoFilter ref="A18:H18"/>
  <conditionalFormatting sqref="C17">
    <cfRule type="cellIs" dxfId="37" priority="1" stopIfTrue="1" operator="equal">
      <formula>$B$10</formula>
    </cfRule>
    <cfRule type="cellIs" dxfId="36"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tabColor indexed="11"/>
  </sheetPr>
  <dimension ref="A1:H48"/>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4</v>
      </c>
      <c r="C2" s="15">
        <f>IF(ISERROR(VALUE(TRIM(CLEAN(MID(C20,FIND("(",C20)+1,FIND("/",C20,1)-FIND("(",C20)-1))))),0,VALUE(TRIM(CLEAN(MID(C20,FIND("(",C20)+1,FIND("/",C20,1)-FIND("(",C20)-1)))))</f>
        <v>4</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28</v>
      </c>
      <c r="C4" s="16">
        <f>IF(ISERROR(VALUE(TRIM(CLEAN(MID(C23,FIND("(",C23)+1,FIND("/",C23,1)-FIND("(",C23)-1))))),0,VALUE(TRIM(CLEAN(MID(C23,FIND("(",C23)+1,FIND("/",C23,1)-FIND("(",C23)-1)))))</f>
        <v>28</v>
      </c>
      <c r="E4" s="29" t="s">
        <v>2</v>
      </c>
    </row>
    <row r="5" spans="1:5" ht="22.5" x14ac:dyDescent="0.2">
      <c r="A5" s="20" t="s">
        <v>17</v>
      </c>
      <c r="B5" s="21">
        <f>IF(ISERROR(VALUE(TRIM(CLEAN(MID(C24,FIND("/",C24)+1,FIND(")",C24,1)-FIND("/",C24)-1))))),0,VALUE(TRIM(CLEAN(MID(C24,FIND("/",C24)+1,FIND(")",C24,1)-FIND("/",C24)-1)))))</f>
        <v>14</v>
      </c>
      <c r="C5" s="16">
        <f>IF(ISERROR(VALUE(TRIM(CLEAN(MID(C24,FIND("(",C24)+1,FIND("/",C24,1)-FIND("(",C24)-1))))),0,VALUE(TRIM(CLEAN(MID(C24,FIND("(",C24)+1,FIND("/",C24,1)-FIND("(",C24)-1)))))</f>
        <v>14</v>
      </c>
    </row>
    <row r="6" spans="1:5" x14ac:dyDescent="0.2">
      <c r="A6" s="20"/>
      <c r="B6" s="21"/>
      <c r="C6" s="16"/>
    </row>
    <row r="7" spans="1:5" ht="13.5" thickBot="1" x14ac:dyDescent="0.25">
      <c r="A7" s="22" t="s">
        <v>13</v>
      </c>
      <c r="B7" s="23">
        <f>SUM(B2:B5)</f>
        <v>46</v>
      </c>
      <c r="C7" s="17">
        <f>SUM(C2:C5)</f>
        <v>46</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1547</v>
      </c>
    </row>
    <row r="20" spans="1:8" x14ac:dyDescent="0.2">
      <c r="C20" s="5" t="s">
        <v>877</v>
      </c>
    </row>
    <row r="21" spans="1:8" x14ac:dyDescent="0.2">
      <c r="C21" s="5" t="s">
        <v>704</v>
      </c>
    </row>
    <row r="22" spans="1:8" x14ac:dyDescent="0.2">
      <c r="C22" s="5" t="s">
        <v>878</v>
      </c>
    </row>
    <row r="23" spans="1:8" x14ac:dyDescent="0.2">
      <c r="C23" s="5" t="s">
        <v>874</v>
      </c>
    </row>
    <row r="24" spans="1:8" x14ac:dyDescent="0.2">
      <c r="C24" s="5" t="s">
        <v>845</v>
      </c>
    </row>
    <row r="25" spans="1:8" x14ac:dyDescent="0.2">
      <c r="B25" s="5" t="s">
        <v>1548</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1549</v>
      </c>
    </row>
    <row r="32" spans="1:8" x14ac:dyDescent="0.2">
      <c r="D32" s="5" t="s">
        <v>703</v>
      </c>
    </row>
    <row r="33" spans="2:4" x14ac:dyDescent="0.2">
      <c r="D33" s="5" t="s">
        <v>704</v>
      </c>
    </row>
    <row r="34" spans="2:4" x14ac:dyDescent="0.2">
      <c r="D34" s="5" t="s">
        <v>705</v>
      </c>
    </row>
    <row r="35" spans="2:4" x14ac:dyDescent="0.2">
      <c r="D35" s="5" t="s">
        <v>711</v>
      </c>
    </row>
    <row r="36" spans="2:4" x14ac:dyDescent="0.2">
      <c r="D36" s="5" t="s">
        <v>712</v>
      </c>
    </row>
    <row r="37" spans="2:4" x14ac:dyDescent="0.2">
      <c r="B37" s="5" t="s">
        <v>1550</v>
      </c>
    </row>
    <row r="38" spans="2:4" x14ac:dyDescent="0.2">
      <c r="D38" s="5" t="s">
        <v>703</v>
      </c>
    </row>
    <row r="39" spans="2:4" x14ac:dyDescent="0.2">
      <c r="D39" s="5" t="s">
        <v>704</v>
      </c>
    </row>
    <row r="40" spans="2:4" x14ac:dyDescent="0.2">
      <c r="D40" s="5" t="s">
        <v>705</v>
      </c>
    </row>
    <row r="41" spans="2:4" x14ac:dyDescent="0.2">
      <c r="D41" s="5" t="s">
        <v>711</v>
      </c>
    </row>
    <row r="42" spans="2:4" x14ac:dyDescent="0.2">
      <c r="D42" s="5" t="s">
        <v>712</v>
      </c>
    </row>
    <row r="43" spans="2:4" x14ac:dyDescent="0.2">
      <c r="B43" s="5" t="s">
        <v>1551</v>
      </c>
    </row>
    <row r="44" spans="2:4" x14ac:dyDescent="0.2">
      <c r="D44" s="5" t="s">
        <v>703</v>
      </c>
    </row>
    <row r="45" spans="2:4" x14ac:dyDescent="0.2">
      <c r="D45" s="5" t="s">
        <v>704</v>
      </c>
    </row>
    <row r="46" spans="2:4" x14ac:dyDescent="0.2">
      <c r="D46" s="5" t="s">
        <v>705</v>
      </c>
    </row>
    <row r="47" spans="2:4" x14ac:dyDescent="0.2">
      <c r="D47" s="5" t="s">
        <v>874</v>
      </c>
    </row>
    <row r="48" spans="2:4" x14ac:dyDescent="0.2">
      <c r="D48" s="5" t="s">
        <v>845</v>
      </c>
    </row>
  </sheetData>
  <autoFilter ref="A18:H18"/>
  <conditionalFormatting sqref="C17">
    <cfRule type="cellIs" dxfId="35" priority="1" stopIfTrue="1" operator="equal">
      <formula>$B$10</formula>
    </cfRule>
    <cfRule type="cellIs" dxfId="34"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tabColor indexed="11"/>
  </sheetPr>
  <dimension ref="A1:H100"/>
  <sheetViews>
    <sheetView topLeftCell="A4" workbookViewId="0"/>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73</v>
      </c>
      <c r="C2" s="15">
        <f>IF(ISERROR(VALUE(TRIM(CLEAN(MID(C20,FIND("(",C20)+1,FIND("/",C20,1)-FIND("(",C20)-1))))),0,VALUE(TRIM(CLEAN(MID(C20,FIND("(",C20)+1,FIND("/",C20,1)-FIND("(",C20)-1)))))</f>
        <v>71</v>
      </c>
    </row>
    <row r="3" spans="1:5" ht="22.5" x14ac:dyDescent="0.2">
      <c r="A3" s="20" t="s">
        <v>15</v>
      </c>
      <c r="B3" s="21">
        <f>IF(ISERROR(VALUE(TRIM(CLEAN(MID(C21,FIND("/",C21)+1,FIND(")",C21,1)-FIND("/",C21)-1))))),0,VALUE(TRIM(CLEAN(MID(C21,FIND("/",C21)+1,FIND(")",C21,1)-FIND("/",C21)-1)))))</f>
        <v>8</v>
      </c>
      <c r="C3" s="16">
        <f>IF(ISERROR(VALUE(TRIM(CLEAN(MID(C21,FIND("(",C21)+1,FIND("/",C21,1)-FIND("(",C21)-1))))),0,VALUE(TRIM(CLEAN(MID(C21,FIND("(",C21)+1,FIND("/",C21,1)-FIND("(",C21)-1)))))</f>
        <v>8</v>
      </c>
      <c r="E3" s="29" t="s">
        <v>1</v>
      </c>
    </row>
    <row r="4" spans="1:5" ht="22.5" x14ac:dyDescent="0.2">
      <c r="A4" s="20" t="s">
        <v>16</v>
      </c>
      <c r="B4" s="21">
        <f>IF(ISERROR(VALUE(TRIM(CLEAN(MID(C23,FIND("/",C23)+1,FIND(")",C23,1)-FIND("/",C23)-1))))),0,VALUE(TRIM(CLEAN(MID(C23,FIND("/",C23)+1,FIND(")",C23,1)-FIND("/",C23)-1)))))</f>
        <v>107</v>
      </c>
      <c r="C4" s="16">
        <f>IF(ISERROR(VALUE(TRIM(CLEAN(MID(C23,FIND("(",C23)+1,FIND("/",C23,1)-FIND("(",C23)-1))))),0,VALUE(TRIM(CLEAN(MID(C23,FIND("(",C23)+1,FIND("/",C23,1)-FIND("(",C23)-1)))))</f>
        <v>105</v>
      </c>
      <c r="E4" s="29" t="s">
        <v>2</v>
      </c>
    </row>
    <row r="5" spans="1:5" ht="22.5" x14ac:dyDescent="0.2">
      <c r="A5" s="20" t="s">
        <v>17</v>
      </c>
      <c r="B5" s="21">
        <f>IF(ISERROR(VALUE(TRIM(CLEAN(MID(C24,FIND("/",C24)+1,FIND(")",C24,1)-FIND("/",C24)-1))))),0,VALUE(TRIM(CLEAN(MID(C24,FIND("/",C24)+1,FIND(")",C24,1)-FIND("/",C24)-1)))))</f>
        <v>24</v>
      </c>
      <c r="C5" s="16">
        <f>IF(ISERROR(VALUE(TRIM(CLEAN(MID(C24,FIND("(",C24)+1,FIND("/",C24,1)-FIND("(",C24)-1))))),0,VALUE(TRIM(CLEAN(MID(C24,FIND("(",C24)+1,FIND("/",C24,1)-FIND("(",C24)-1)))))</f>
        <v>24</v>
      </c>
    </row>
    <row r="6" spans="1:5" x14ac:dyDescent="0.2">
      <c r="A6" s="20"/>
      <c r="B6" s="21"/>
      <c r="C6" s="16"/>
    </row>
    <row r="7" spans="1:5" ht="13.5" thickBot="1" x14ac:dyDescent="0.25">
      <c r="A7" s="22" t="s">
        <v>13</v>
      </c>
      <c r="B7" s="23">
        <f>SUM(B2:B5)</f>
        <v>212</v>
      </c>
      <c r="C7" s="17">
        <f>SUM(C2:C5)</f>
        <v>208</v>
      </c>
    </row>
    <row r="8" spans="1:5" x14ac:dyDescent="0.2">
      <c r="A8" s="12"/>
      <c r="B8" s="7"/>
      <c r="C8" s="7"/>
    </row>
    <row r="9" spans="1:5" ht="13.5" thickBot="1" x14ac:dyDescent="0.25">
      <c r="A9" s="10"/>
      <c r="B9" s="7"/>
      <c r="C9" s="7"/>
    </row>
    <row r="10" spans="1:5" ht="24" thickTop="1" thickBot="1" x14ac:dyDescent="0.25">
      <c r="A10" s="24" t="s">
        <v>18</v>
      </c>
      <c r="B10" s="26">
        <f>B7-C7</f>
        <v>4</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4</v>
      </c>
    </row>
    <row r="16" spans="1:5" ht="23.25" thickBot="1" x14ac:dyDescent="0.25">
      <c r="A16" s="25" t="s">
        <v>20</v>
      </c>
      <c r="B16" s="28"/>
      <c r="C16" s="28">
        <f t="shared" si="0"/>
        <v>0</v>
      </c>
    </row>
    <row r="17" spans="1:8" x14ac:dyDescent="0.2">
      <c r="C17" s="5">
        <f>SUM(C11:C16)</f>
        <v>4</v>
      </c>
    </row>
    <row r="18" spans="1:8" customFormat="1" ht="23.25" x14ac:dyDescent="0.25">
      <c r="A18" s="4" t="s">
        <v>3</v>
      </c>
      <c r="B18" s="6" t="s">
        <v>4</v>
      </c>
      <c r="C18" s="8" t="s">
        <v>6</v>
      </c>
      <c r="D18" s="8" t="s">
        <v>7</v>
      </c>
      <c r="E18" s="8" t="s">
        <v>5</v>
      </c>
      <c r="F18" s="3" t="s">
        <v>10</v>
      </c>
      <c r="G18" s="1" t="s">
        <v>9</v>
      </c>
      <c r="H18" s="2" t="s">
        <v>8</v>
      </c>
    </row>
    <row r="19" spans="1:8" x14ac:dyDescent="0.2">
      <c r="A19" s="5" t="s">
        <v>1553</v>
      </c>
    </row>
    <row r="20" spans="1:8" x14ac:dyDescent="0.2">
      <c r="C20" s="5" t="s">
        <v>1369</v>
      </c>
    </row>
    <row r="21" spans="1:8" x14ac:dyDescent="0.2">
      <c r="C21" s="5" t="s">
        <v>1448</v>
      </c>
    </row>
    <row r="22" spans="1:8" x14ac:dyDescent="0.2">
      <c r="C22" s="5" t="s">
        <v>1574</v>
      </c>
    </row>
    <row r="23" spans="1:8" x14ac:dyDescent="0.2">
      <c r="C23" s="5" t="s">
        <v>1929</v>
      </c>
    </row>
    <row r="24" spans="1:8" x14ac:dyDescent="0.2">
      <c r="C24" s="5" t="s">
        <v>764</v>
      </c>
    </row>
    <row r="25" spans="1:8" x14ac:dyDescent="0.2">
      <c r="B25" s="5" t="s">
        <v>1554</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1555</v>
      </c>
    </row>
    <row r="32" spans="1:8" x14ac:dyDescent="0.2">
      <c r="D32" s="5" t="s">
        <v>703</v>
      </c>
    </row>
    <row r="33" spans="2:8" x14ac:dyDescent="0.2">
      <c r="D33" s="5" t="s">
        <v>704</v>
      </c>
    </row>
    <row r="34" spans="2:8" x14ac:dyDescent="0.2">
      <c r="D34" s="5" t="s">
        <v>705</v>
      </c>
    </row>
    <row r="35" spans="2:8" x14ac:dyDescent="0.2">
      <c r="D35" s="5" t="s">
        <v>711</v>
      </c>
    </row>
    <row r="36" spans="2:8" x14ac:dyDescent="0.2">
      <c r="D36" s="5" t="s">
        <v>712</v>
      </c>
    </row>
    <row r="37" spans="2:8" x14ac:dyDescent="0.2">
      <c r="B37" s="5" t="s">
        <v>1556</v>
      </c>
    </row>
    <row r="38" spans="2:8" x14ac:dyDescent="0.2">
      <c r="D38" s="5" t="s">
        <v>703</v>
      </c>
    </row>
    <row r="39" spans="2:8" x14ac:dyDescent="0.2">
      <c r="D39" s="5" t="s">
        <v>704</v>
      </c>
    </row>
    <row r="40" spans="2:8" x14ac:dyDescent="0.2">
      <c r="D40" s="5" t="s">
        <v>705</v>
      </c>
    </row>
    <row r="41" spans="2:8" x14ac:dyDescent="0.2">
      <c r="D41" s="5" t="s">
        <v>711</v>
      </c>
    </row>
    <row r="42" spans="2:8" x14ac:dyDescent="0.2">
      <c r="D42" s="5" t="s">
        <v>712</v>
      </c>
    </row>
    <row r="43" spans="2:8" x14ac:dyDescent="0.2">
      <c r="B43" s="5" t="s">
        <v>1557</v>
      </c>
    </row>
    <row r="44" spans="2:8" x14ac:dyDescent="0.2">
      <c r="D44" s="5" t="s">
        <v>1579</v>
      </c>
    </row>
    <row r="45" spans="2:8" x14ac:dyDescent="0.2">
      <c r="E45" s="5" t="s">
        <v>1558</v>
      </c>
      <c r="F45" s="5">
        <v>462</v>
      </c>
      <c r="G45" s="5" t="s">
        <v>19</v>
      </c>
      <c r="H45" s="5" t="s">
        <v>1925</v>
      </c>
    </row>
    <row r="46" spans="2:8" x14ac:dyDescent="0.2">
      <c r="D46" s="5" t="s">
        <v>942</v>
      </c>
    </row>
    <row r="47" spans="2:8" x14ac:dyDescent="0.2">
      <c r="D47" s="5" t="s">
        <v>1580</v>
      </c>
    </row>
    <row r="48" spans="2:8" x14ac:dyDescent="0.2">
      <c r="D48" s="5" t="s">
        <v>1930</v>
      </c>
    </row>
    <row r="49" spans="2:8" x14ac:dyDescent="0.2">
      <c r="E49" s="5" t="s">
        <v>1559</v>
      </c>
      <c r="F49" s="5">
        <v>462</v>
      </c>
      <c r="G49" s="5" t="s">
        <v>19</v>
      </c>
      <c r="H49" s="5" t="s">
        <v>1925</v>
      </c>
    </row>
    <row r="50" spans="2:8" x14ac:dyDescent="0.2">
      <c r="D50" s="5" t="s">
        <v>1931</v>
      </c>
    </row>
    <row r="51" spans="2:8" x14ac:dyDescent="0.2">
      <c r="B51" s="5" t="s">
        <v>1560</v>
      </c>
    </row>
    <row r="52" spans="2:8" x14ac:dyDescent="0.2">
      <c r="D52" s="5" t="s">
        <v>703</v>
      </c>
    </row>
    <row r="53" spans="2:8" x14ac:dyDescent="0.2">
      <c r="D53" s="5" t="s">
        <v>704</v>
      </c>
    </row>
    <row r="54" spans="2:8" x14ac:dyDescent="0.2">
      <c r="D54" s="5" t="s">
        <v>705</v>
      </c>
    </row>
    <row r="55" spans="2:8" x14ac:dyDescent="0.2">
      <c r="D55" s="5" t="s">
        <v>711</v>
      </c>
    </row>
    <row r="56" spans="2:8" x14ac:dyDescent="0.2">
      <c r="D56" s="5" t="s">
        <v>712</v>
      </c>
    </row>
    <row r="57" spans="2:8" x14ac:dyDescent="0.2">
      <c r="B57" s="5" t="s">
        <v>1561</v>
      </c>
    </row>
    <row r="58" spans="2:8" x14ac:dyDescent="0.2">
      <c r="D58" s="5" t="s">
        <v>703</v>
      </c>
    </row>
    <row r="59" spans="2:8" x14ac:dyDescent="0.2">
      <c r="D59" s="5" t="s">
        <v>704</v>
      </c>
    </row>
    <row r="60" spans="2:8" x14ac:dyDescent="0.2">
      <c r="D60" s="5" t="s">
        <v>705</v>
      </c>
    </row>
    <row r="61" spans="2:8" x14ac:dyDescent="0.2">
      <c r="D61" s="5" t="s">
        <v>711</v>
      </c>
    </row>
    <row r="62" spans="2:8" x14ac:dyDescent="0.2">
      <c r="D62" s="5" t="s">
        <v>712</v>
      </c>
    </row>
    <row r="63" spans="2:8" x14ac:dyDescent="0.2">
      <c r="B63" s="5" t="s">
        <v>1562</v>
      </c>
    </row>
    <row r="64" spans="2:8" x14ac:dyDescent="0.2">
      <c r="D64" s="5" t="s">
        <v>703</v>
      </c>
    </row>
    <row r="65" spans="2:8" x14ac:dyDescent="0.2">
      <c r="D65" s="5" t="s">
        <v>704</v>
      </c>
    </row>
    <row r="66" spans="2:8" x14ac:dyDescent="0.2">
      <c r="D66" s="5" t="s">
        <v>705</v>
      </c>
    </row>
    <row r="67" spans="2:8" x14ac:dyDescent="0.2">
      <c r="D67" s="5" t="s">
        <v>711</v>
      </c>
    </row>
    <row r="68" spans="2:8" x14ac:dyDescent="0.2">
      <c r="D68" s="5" t="s">
        <v>712</v>
      </c>
    </row>
    <row r="69" spans="2:8" x14ac:dyDescent="0.2">
      <c r="B69" s="5" t="s">
        <v>1563</v>
      </c>
    </row>
    <row r="70" spans="2:8" x14ac:dyDescent="0.2">
      <c r="D70" s="5" t="s">
        <v>1564</v>
      </c>
    </row>
    <row r="71" spans="2:8" x14ac:dyDescent="0.2">
      <c r="E71" s="5" t="s">
        <v>1565</v>
      </c>
      <c r="F71" s="5">
        <v>694</v>
      </c>
      <c r="G71" s="5" t="s">
        <v>19</v>
      </c>
      <c r="H71" s="5" t="s">
        <v>1925</v>
      </c>
    </row>
    <row r="72" spans="2:8" x14ac:dyDescent="0.2">
      <c r="D72" s="5" t="s">
        <v>897</v>
      </c>
    </row>
    <row r="73" spans="2:8" x14ac:dyDescent="0.2">
      <c r="D73" s="5" t="s">
        <v>1566</v>
      </c>
    </row>
    <row r="74" spans="2:8" x14ac:dyDescent="0.2">
      <c r="D74" s="5" t="s">
        <v>1585</v>
      </c>
    </row>
    <row r="75" spans="2:8" x14ac:dyDescent="0.2">
      <c r="E75" s="5" t="s">
        <v>1567</v>
      </c>
      <c r="F75" s="5">
        <v>694</v>
      </c>
      <c r="G75" s="5" t="s">
        <v>19</v>
      </c>
      <c r="H75" s="5" t="s">
        <v>1925</v>
      </c>
    </row>
    <row r="76" spans="2:8" x14ac:dyDescent="0.2">
      <c r="D76" s="5" t="s">
        <v>1040</v>
      </c>
    </row>
    <row r="77" spans="2:8" x14ac:dyDescent="0.2">
      <c r="B77" s="5" t="s">
        <v>1568</v>
      </c>
    </row>
    <row r="78" spans="2:8" x14ac:dyDescent="0.2">
      <c r="D78" s="5" t="s">
        <v>703</v>
      </c>
    </row>
    <row r="79" spans="2:8" x14ac:dyDescent="0.2">
      <c r="D79" s="5" t="s">
        <v>704</v>
      </c>
    </row>
    <row r="80" spans="2:8" x14ac:dyDescent="0.2">
      <c r="D80" s="5" t="s">
        <v>705</v>
      </c>
    </row>
    <row r="81" spans="2:4" x14ac:dyDescent="0.2">
      <c r="D81" s="5" t="s">
        <v>711</v>
      </c>
    </row>
    <row r="82" spans="2:4" x14ac:dyDescent="0.2">
      <c r="D82" s="5" t="s">
        <v>712</v>
      </c>
    </row>
    <row r="83" spans="2:4" x14ac:dyDescent="0.2">
      <c r="B83" s="5" t="s">
        <v>1569</v>
      </c>
    </row>
    <row r="84" spans="2:4" x14ac:dyDescent="0.2">
      <c r="D84" s="5" t="s">
        <v>703</v>
      </c>
    </row>
    <row r="85" spans="2:4" x14ac:dyDescent="0.2">
      <c r="D85" s="5" t="s">
        <v>704</v>
      </c>
    </row>
    <row r="86" spans="2:4" x14ac:dyDescent="0.2">
      <c r="D86" s="5" t="s">
        <v>705</v>
      </c>
    </row>
    <row r="87" spans="2:4" x14ac:dyDescent="0.2">
      <c r="D87" s="5" t="s">
        <v>711</v>
      </c>
    </row>
    <row r="88" spans="2:4" x14ac:dyDescent="0.2">
      <c r="D88" s="5" t="s">
        <v>712</v>
      </c>
    </row>
    <row r="89" spans="2:4" x14ac:dyDescent="0.2">
      <c r="B89" s="5" t="s">
        <v>1570</v>
      </c>
    </row>
    <row r="90" spans="2:4" x14ac:dyDescent="0.2">
      <c r="D90" s="5" t="s">
        <v>703</v>
      </c>
    </row>
    <row r="91" spans="2:4" x14ac:dyDescent="0.2">
      <c r="D91" s="5" t="s">
        <v>704</v>
      </c>
    </row>
    <row r="92" spans="2:4" x14ac:dyDescent="0.2">
      <c r="D92" s="5" t="s">
        <v>705</v>
      </c>
    </row>
    <row r="93" spans="2:4" x14ac:dyDescent="0.2">
      <c r="D93" s="5" t="s">
        <v>711</v>
      </c>
    </row>
    <row r="94" spans="2:4" x14ac:dyDescent="0.2">
      <c r="D94" s="5" t="s">
        <v>712</v>
      </c>
    </row>
    <row r="95" spans="2:4" x14ac:dyDescent="0.2">
      <c r="B95" s="5" t="s">
        <v>1571</v>
      </c>
    </row>
    <row r="96" spans="2:4" x14ac:dyDescent="0.2">
      <c r="D96" s="5" t="s">
        <v>703</v>
      </c>
    </row>
    <row r="97" spans="4:4" x14ac:dyDescent="0.2">
      <c r="D97" s="5" t="s">
        <v>704</v>
      </c>
    </row>
    <row r="98" spans="4:4" x14ac:dyDescent="0.2">
      <c r="D98" s="5" t="s">
        <v>705</v>
      </c>
    </row>
    <row r="99" spans="4:4" x14ac:dyDescent="0.2">
      <c r="D99" s="5" t="s">
        <v>743</v>
      </c>
    </row>
    <row r="100" spans="4:4" x14ac:dyDescent="0.2">
      <c r="D100" s="5" t="s">
        <v>744</v>
      </c>
    </row>
  </sheetData>
  <autoFilter ref="A18:H18"/>
  <conditionalFormatting sqref="C17">
    <cfRule type="cellIs" dxfId="33" priority="1" stopIfTrue="1" operator="equal">
      <formula>$B$10</formula>
    </cfRule>
    <cfRule type="cellIs" dxfId="32"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tabColor indexed="11"/>
  </sheetPr>
  <dimension ref="A1:H100"/>
  <sheetViews>
    <sheetView workbookViewId="0"/>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73</v>
      </c>
      <c r="C2" s="15">
        <f>IF(ISERROR(VALUE(TRIM(CLEAN(MID(C20,FIND("(",C20)+1,FIND("/",C20,1)-FIND("(",C20)-1))))),0,VALUE(TRIM(CLEAN(MID(C20,FIND("(",C20)+1,FIND("/",C20,1)-FIND("(",C20)-1)))))</f>
        <v>71</v>
      </c>
    </row>
    <row r="3" spans="1:5" ht="22.5" x14ac:dyDescent="0.2">
      <c r="A3" s="20" t="s">
        <v>15</v>
      </c>
      <c r="B3" s="21">
        <f>IF(ISERROR(VALUE(TRIM(CLEAN(MID(C21,FIND("/",C21)+1,FIND(")",C21,1)-FIND("/",C21)-1))))),0,VALUE(TRIM(CLEAN(MID(C21,FIND("/",C21)+1,FIND(")",C21,1)-FIND("/",C21)-1)))))</f>
        <v>8</v>
      </c>
      <c r="C3" s="16">
        <f>IF(ISERROR(VALUE(TRIM(CLEAN(MID(C21,FIND("(",C21)+1,FIND("/",C21,1)-FIND("(",C21)-1))))),0,VALUE(TRIM(CLEAN(MID(C21,FIND("(",C21)+1,FIND("/",C21,1)-FIND("(",C21)-1)))))</f>
        <v>8</v>
      </c>
      <c r="E3" s="29" t="s">
        <v>1</v>
      </c>
    </row>
    <row r="4" spans="1:5" ht="22.5" x14ac:dyDescent="0.2">
      <c r="A4" s="20" t="s">
        <v>16</v>
      </c>
      <c r="B4" s="21">
        <f>IF(ISERROR(VALUE(TRIM(CLEAN(MID(C23,FIND("/",C23)+1,FIND(")",C23,1)-FIND("/",C23)-1))))),0,VALUE(TRIM(CLEAN(MID(C23,FIND("/",C23)+1,FIND(")",C23,1)-FIND("/",C23)-1)))))</f>
        <v>107</v>
      </c>
      <c r="C4" s="16">
        <f>IF(ISERROR(VALUE(TRIM(CLEAN(MID(C23,FIND("(",C23)+1,FIND("/",C23,1)-FIND("(",C23)-1))))),0,VALUE(TRIM(CLEAN(MID(C23,FIND("(",C23)+1,FIND("/",C23,1)-FIND("(",C23)-1)))))</f>
        <v>105</v>
      </c>
      <c r="E4" s="29" t="s">
        <v>2</v>
      </c>
    </row>
    <row r="5" spans="1:5" ht="22.5" x14ac:dyDescent="0.2">
      <c r="A5" s="20" t="s">
        <v>17</v>
      </c>
      <c r="B5" s="21">
        <f>IF(ISERROR(VALUE(TRIM(CLEAN(MID(C24,FIND("/",C24)+1,FIND(")",C24,1)-FIND("/",C24)-1))))),0,VALUE(TRIM(CLEAN(MID(C24,FIND("/",C24)+1,FIND(")",C24,1)-FIND("/",C24)-1)))))</f>
        <v>24</v>
      </c>
      <c r="C5" s="16">
        <f>IF(ISERROR(VALUE(TRIM(CLEAN(MID(C24,FIND("(",C24)+1,FIND("/",C24,1)-FIND("(",C24)-1))))),0,VALUE(TRIM(CLEAN(MID(C24,FIND("(",C24)+1,FIND("/",C24,1)-FIND("(",C24)-1)))))</f>
        <v>24</v>
      </c>
    </row>
    <row r="6" spans="1:5" x14ac:dyDescent="0.2">
      <c r="A6" s="20"/>
      <c r="B6" s="21"/>
      <c r="C6" s="16"/>
    </row>
    <row r="7" spans="1:5" ht="13.5" thickBot="1" x14ac:dyDescent="0.25">
      <c r="A7" s="22" t="s">
        <v>13</v>
      </c>
      <c r="B7" s="23">
        <f>SUM(B2:B5)</f>
        <v>212</v>
      </c>
      <c r="C7" s="17">
        <f>SUM(C2:C5)</f>
        <v>208</v>
      </c>
    </row>
    <row r="8" spans="1:5" x14ac:dyDescent="0.2">
      <c r="A8" s="12"/>
      <c r="B8" s="7"/>
      <c r="C8" s="7"/>
    </row>
    <row r="9" spans="1:5" ht="13.5" thickBot="1" x14ac:dyDescent="0.25">
      <c r="A9" s="10"/>
      <c r="B9" s="7"/>
      <c r="C9" s="7"/>
    </row>
    <row r="10" spans="1:5" ht="24" thickTop="1" thickBot="1" x14ac:dyDescent="0.25">
      <c r="A10" s="24" t="s">
        <v>18</v>
      </c>
      <c r="B10" s="26">
        <f>B7-C7</f>
        <v>4</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4</v>
      </c>
    </row>
    <row r="16" spans="1:5" ht="23.25" thickBot="1" x14ac:dyDescent="0.25">
      <c r="A16" s="25" t="s">
        <v>20</v>
      </c>
      <c r="B16" s="28"/>
      <c r="C16" s="28">
        <f t="shared" si="0"/>
        <v>0</v>
      </c>
    </row>
    <row r="17" spans="1:8" x14ac:dyDescent="0.2">
      <c r="C17" s="5">
        <f>SUM(C11:C16)</f>
        <v>4</v>
      </c>
    </row>
    <row r="18" spans="1:8" customFormat="1" ht="23.25" x14ac:dyDescent="0.25">
      <c r="A18" s="4" t="s">
        <v>3</v>
      </c>
      <c r="B18" s="6" t="s">
        <v>4</v>
      </c>
      <c r="C18" s="8" t="s">
        <v>6</v>
      </c>
      <c r="D18" s="8" t="s">
        <v>7</v>
      </c>
      <c r="E18" s="8" t="s">
        <v>5</v>
      </c>
      <c r="F18" s="3" t="s">
        <v>10</v>
      </c>
      <c r="G18" s="1" t="s">
        <v>9</v>
      </c>
      <c r="H18" s="2" t="s">
        <v>8</v>
      </c>
    </row>
    <row r="19" spans="1:8" x14ac:dyDescent="0.2">
      <c r="A19" s="5" t="s">
        <v>1573</v>
      </c>
    </row>
    <row r="20" spans="1:8" x14ac:dyDescent="0.2">
      <c r="C20" s="5" t="s">
        <v>1369</v>
      </c>
    </row>
    <row r="21" spans="1:8" x14ac:dyDescent="0.2">
      <c r="C21" s="5" t="s">
        <v>1448</v>
      </c>
    </row>
    <row r="22" spans="1:8" x14ac:dyDescent="0.2">
      <c r="C22" s="5" t="s">
        <v>1574</v>
      </c>
    </row>
    <row r="23" spans="1:8" x14ac:dyDescent="0.2">
      <c r="C23" s="5" t="s">
        <v>1929</v>
      </c>
    </row>
    <row r="24" spans="1:8" x14ac:dyDescent="0.2">
      <c r="C24" s="5" t="s">
        <v>764</v>
      </c>
    </row>
    <row r="25" spans="1:8" x14ac:dyDescent="0.2">
      <c r="B25" s="5" t="s">
        <v>1575</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1576</v>
      </c>
    </row>
    <row r="32" spans="1:8" x14ac:dyDescent="0.2">
      <c r="D32" s="5" t="s">
        <v>703</v>
      </c>
    </row>
    <row r="33" spans="2:8" x14ac:dyDescent="0.2">
      <c r="D33" s="5" t="s">
        <v>704</v>
      </c>
    </row>
    <row r="34" spans="2:8" x14ac:dyDescent="0.2">
      <c r="D34" s="5" t="s">
        <v>705</v>
      </c>
    </row>
    <row r="35" spans="2:8" x14ac:dyDescent="0.2">
      <c r="D35" s="5" t="s">
        <v>711</v>
      </c>
    </row>
    <row r="36" spans="2:8" x14ac:dyDescent="0.2">
      <c r="D36" s="5" t="s">
        <v>712</v>
      </c>
    </row>
    <row r="37" spans="2:8" x14ac:dyDescent="0.2">
      <c r="B37" s="5" t="s">
        <v>1577</v>
      </c>
    </row>
    <row r="38" spans="2:8" x14ac:dyDescent="0.2">
      <c r="D38" s="5" t="s">
        <v>703</v>
      </c>
    </row>
    <row r="39" spans="2:8" x14ac:dyDescent="0.2">
      <c r="D39" s="5" t="s">
        <v>704</v>
      </c>
    </row>
    <row r="40" spans="2:8" x14ac:dyDescent="0.2">
      <c r="D40" s="5" t="s">
        <v>705</v>
      </c>
    </row>
    <row r="41" spans="2:8" x14ac:dyDescent="0.2">
      <c r="D41" s="5" t="s">
        <v>711</v>
      </c>
    </row>
    <row r="42" spans="2:8" x14ac:dyDescent="0.2">
      <c r="D42" s="5" t="s">
        <v>712</v>
      </c>
    </row>
    <row r="43" spans="2:8" x14ac:dyDescent="0.2">
      <c r="B43" s="5" t="s">
        <v>1578</v>
      </c>
    </row>
    <row r="44" spans="2:8" x14ac:dyDescent="0.2">
      <c r="D44" s="5" t="s">
        <v>1579</v>
      </c>
    </row>
    <row r="45" spans="2:8" x14ac:dyDescent="0.2">
      <c r="E45" s="5" t="s">
        <v>1558</v>
      </c>
      <c r="F45" s="5">
        <v>462</v>
      </c>
      <c r="G45" s="5" t="s">
        <v>19</v>
      </c>
      <c r="H45" s="5" t="s">
        <v>1925</v>
      </c>
    </row>
    <row r="46" spans="2:8" x14ac:dyDescent="0.2">
      <c r="D46" s="5" t="s">
        <v>942</v>
      </c>
    </row>
    <row r="47" spans="2:8" x14ac:dyDescent="0.2">
      <c r="D47" s="5" t="s">
        <v>1580</v>
      </c>
    </row>
    <row r="48" spans="2:8" x14ac:dyDescent="0.2">
      <c r="D48" s="5" t="s">
        <v>1930</v>
      </c>
    </row>
    <row r="49" spans="2:8" x14ac:dyDescent="0.2">
      <c r="E49" s="5" t="s">
        <v>1559</v>
      </c>
      <c r="F49" s="5">
        <v>462</v>
      </c>
      <c r="G49" s="5" t="s">
        <v>19</v>
      </c>
      <c r="H49" s="5" t="s">
        <v>1925</v>
      </c>
    </row>
    <row r="50" spans="2:8" x14ac:dyDescent="0.2">
      <c r="D50" s="5" t="s">
        <v>1931</v>
      </c>
    </row>
    <row r="51" spans="2:8" x14ac:dyDescent="0.2">
      <c r="B51" s="5" t="s">
        <v>1581</v>
      </c>
    </row>
    <row r="52" spans="2:8" x14ac:dyDescent="0.2">
      <c r="D52" s="5" t="s">
        <v>703</v>
      </c>
    </row>
    <row r="53" spans="2:8" x14ac:dyDescent="0.2">
      <c r="D53" s="5" t="s">
        <v>704</v>
      </c>
    </row>
    <row r="54" spans="2:8" x14ac:dyDescent="0.2">
      <c r="D54" s="5" t="s">
        <v>705</v>
      </c>
    </row>
    <row r="55" spans="2:8" x14ac:dyDescent="0.2">
      <c r="D55" s="5" t="s">
        <v>711</v>
      </c>
    </row>
    <row r="56" spans="2:8" x14ac:dyDescent="0.2">
      <c r="D56" s="5" t="s">
        <v>712</v>
      </c>
    </row>
    <row r="57" spans="2:8" x14ac:dyDescent="0.2">
      <c r="B57" s="5" t="s">
        <v>1582</v>
      </c>
    </row>
    <row r="58" spans="2:8" x14ac:dyDescent="0.2">
      <c r="D58" s="5" t="s">
        <v>703</v>
      </c>
    </row>
    <row r="59" spans="2:8" x14ac:dyDescent="0.2">
      <c r="D59" s="5" t="s">
        <v>704</v>
      </c>
    </row>
    <row r="60" spans="2:8" x14ac:dyDescent="0.2">
      <c r="D60" s="5" t="s">
        <v>705</v>
      </c>
    </row>
    <row r="61" spans="2:8" x14ac:dyDescent="0.2">
      <c r="D61" s="5" t="s">
        <v>711</v>
      </c>
    </row>
    <row r="62" spans="2:8" x14ac:dyDescent="0.2">
      <c r="D62" s="5" t="s">
        <v>712</v>
      </c>
    </row>
    <row r="63" spans="2:8" x14ac:dyDescent="0.2">
      <c r="B63" s="5" t="s">
        <v>1583</v>
      </c>
    </row>
    <row r="64" spans="2:8" x14ac:dyDescent="0.2">
      <c r="D64" s="5" t="s">
        <v>703</v>
      </c>
    </row>
    <row r="65" spans="2:8" x14ac:dyDescent="0.2">
      <c r="D65" s="5" t="s">
        <v>704</v>
      </c>
    </row>
    <row r="66" spans="2:8" x14ac:dyDescent="0.2">
      <c r="D66" s="5" t="s">
        <v>705</v>
      </c>
    </row>
    <row r="67" spans="2:8" x14ac:dyDescent="0.2">
      <c r="D67" s="5" t="s">
        <v>711</v>
      </c>
    </row>
    <row r="68" spans="2:8" x14ac:dyDescent="0.2">
      <c r="D68" s="5" t="s">
        <v>712</v>
      </c>
    </row>
    <row r="69" spans="2:8" x14ac:dyDescent="0.2">
      <c r="B69" s="5" t="s">
        <v>1584</v>
      </c>
    </row>
    <row r="70" spans="2:8" x14ac:dyDescent="0.2">
      <c r="D70" s="5" t="s">
        <v>1564</v>
      </c>
    </row>
    <row r="71" spans="2:8" x14ac:dyDescent="0.2">
      <c r="E71" s="5" t="s">
        <v>1565</v>
      </c>
      <c r="F71" s="5">
        <v>694</v>
      </c>
      <c r="G71" s="5" t="s">
        <v>19</v>
      </c>
      <c r="H71" s="5" t="s">
        <v>1925</v>
      </c>
    </row>
    <row r="72" spans="2:8" x14ac:dyDescent="0.2">
      <c r="D72" s="5" t="s">
        <v>897</v>
      </c>
    </row>
    <row r="73" spans="2:8" x14ac:dyDescent="0.2">
      <c r="D73" s="5" t="s">
        <v>1566</v>
      </c>
    </row>
    <row r="74" spans="2:8" x14ac:dyDescent="0.2">
      <c r="D74" s="5" t="s">
        <v>1585</v>
      </c>
    </row>
    <row r="75" spans="2:8" x14ac:dyDescent="0.2">
      <c r="E75" s="5" t="s">
        <v>1567</v>
      </c>
      <c r="F75" s="5">
        <v>694</v>
      </c>
      <c r="G75" s="5" t="s">
        <v>19</v>
      </c>
      <c r="H75" s="5" t="s">
        <v>1925</v>
      </c>
    </row>
    <row r="76" spans="2:8" x14ac:dyDescent="0.2">
      <c r="D76" s="5" t="s">
        <v>1040</v>
      </c>
    </row>
    <row r="77" spans="2:8" x14ac:dyDescent="0.2">
      <c r="B77" s="5" t="s">
        <v>1586</v>
      </c>
    </row>
    <row r="78" spans="2:8" x14ac:dyDescent="0.2">
      <c r="D78" s="5" t="s">
        <v>703</v>
      </c>
    </row>
    <row r="79" spans="2:8" x14ac:dyDescent="0.2">
      <c r="D79" s="5" t="s">
        <v>704</v>
      </c>
    </row>
    <row r="80" spans="2:8" x14ac:dyDescent="0.2">
      <c r="D80" s="5" t="s">
        <v>705</v>
      </c>
    </row>
    <row r="81" spans="2:4" x14ac:dyDescent="0.2">
      <c r="D81" s="5" t="s">
        <v>711</v>
      </c>
    </row>
    <row r="82" spans="2:4" x14ac:dyDescent="0.2">
      <c r="D82" s="5" t="s">
        <v>712</v>
      </c>
    </row>
    <row r="83" spans="2:4" x14ac:dyDescent="0.2">
      <c r="B83" s="5" t="s">
        <v>1587</v>
      </c>
    </row>
    <row r="84" spans="2:4" x14ac:dyDescent="0.2">
      <c r="D84" s="5" t="s">
        <v>703</v>
      </c>
    </row>
    <row r="85" spans="2:4" x14ac:dyDescent="0.2">
      <c r="D85" s="5" t="s">
        <v>704</v>
      </c>
    </row>
    <row r="86" spans="2:4" x14ac:dyDescent="0.2">
      <c r="D86" s="5" t="s">
        <v>705</v>
      </c>
    </row>
    <row r="87" spans="2:4" x14ac:dyDescent="0.2">
      <c r="D87" s="5" t="s">
        <v>711</v>
      </c>
    </row>
    <row r="88" spans="2:4" x14ac:dyDescent="0.2">
      <c r="D88" s="5" t="s">
        <v>712</v>
      </c>
    </row>
    <row r="89" spans="2:4" x14ac:dyDescent="0.2">
      <c r="B89" s="5" t="s">
        <v>1588</v>
      </c>
    </row>
    <row r="90" spans="2:4" x14ac:dyDescent="0.2">
      <c r="D90" s="5" t="s">
        <v>703</v>
      </c>
    </row>
    <row r="91" spans="2:4" x14ac:dyDescent="0.2">
      <c r="D91" s="5" t="s">
        <v>704</v>
      </c>
    </row>
    <row r="92" spans="2:4" x14ac:dyDescent="0.2">
      <c r="D92" s="5" t="s">
        <v>705</v>
      </c>
    </row>
    <row r="93" spans="2:4" x14ac:dyDescent="0.2">
      <c r="D93" s="5" t="s">
        <v>711</v>
      </c>
    </row>
    <row r="94" spans="2:4" x14ac:dyDescent="0.2">
      <c r="D94" s="5" t="s">
        <v>712</v>
      </c>
    </row>
    <row r="95" spans="2:4" x14ac:dyDescent="0.2">
      <c r="B95" s="5" t="s">
        <v>1589</v>
      </c>
    </row>
    <row r="96" spans="2:4" x14ac:dyDescent="0.2">
      <c r="D96" s="5" t="s">
        <v>703</v>
      </c>
    </row>
    <row r="97" spans="4:4" x14ac:dyDescent="0.2">
      <c r="D97" s="5" t="s">
        <v>704</v>
      </c>
    </row>
    <row r="98" spans="4:4" x14ac:dyDescent="0.2">
      <c r="D98" s="5" t="s">
        <v>705</v>
      </c>
    </row>
    <row r="99" spans="4:4" x14ac:dyDescent="0.2">
      <c r="D99" s="5" t="s">
        <v>743</v>
      </c>
    </row>
    <row r="100" spans="4:4" x14ac:dyDescent="0.2">
      <c r="D100" s="5" t="s">
        <v>744</v>
      </c>
    </row>
  </sheetData>
  <autoFilter ref="A18:H18"/>
  <conditionalFormatting sqref="C17">
    <cfRule type="cellIs" dxfId="31" priority="1" stopIfTrue="1" operator="equal">
      <formula>$B$10</formula>
    </cfRule>
    <cfRule type="cellIs" dxfId="30"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tabColor indexed="11"/>
  </sheetPr>
  <dimension ref="A1:H66"/>
  <sheetViews>
    <sheetView workbookViewId="0">
      <selection activeCell="E4" sqref="E4"/>
    </sheetView>
  </sheetViews>
  <sheetFormatPr defaultRowHeight="12.75" x14ac:dyDescent="0.2"/>
  <cols>
    <col min="1" max="1" width="12" style="34" customWidth="1"/>
    <col min="2" max="2" width="9.5703125" style="34" customWidth="1"/>
    <col min="3" max="3" width="10.28515625" style="34" customWidth="1"/>
    <col min="4" max="4" width="11" style="34" customWidth="1"/>
    <col min="5" max="5" width="53.42578125" style="34" customWidth="1"/>
    <col min="6" max="6" width="8.85546875" style="34" customWidth="1"/>
    <col min="7" max="7" width="13.28515625" style="34" customWidth="1"/>
    <col min="8" max="8" width="51.85546875" style="34" customWidth="1"/>
    <col min="9" max="16384" width="9.140625" style="52"/>
  </cols>
  <sheetData>
    <row r="1" spans="1:5" ht="23.25" thickBot="1" x14ac:dyDescent="0.25">
      <c r="A1" s="32"/>
      <c r="B1" s="33" t="s">
        <v>11</v>
      </c>
      <c r="C1" s="33" t="s">
        <v>12</v>
      </c>
    </row>
    <row r="2" spans="1:5" ht="22.5" x14ac:dyDescent="0.2">
      <c r="A2" s="35" t="s">
        <v>14</v>
      </c>
      <c r="B2" s="36">
        <f>IF(ISERROR(VALUE(TRIM(CLEAN(MID(C20,FIND("/",C20)+1,FIND(")",C20,1)-FIND("/",C20)-1))))),0,VALUE(TRIM(CLEAN(MID(C20,FIND("/",C20)+1,FIND(")",C20,1)-FIND("/",C20)-1)))))</f>
        <v>59</v>
      </c>
      <c r="C2" s="37">
        <f>IF(ISERROR(VALUE(TRIM(CLEAN(MID(C20,FIND("(",C20)+1,FIND("/",C20,1)-FIND("(",C20)-1))))),0,VALUE(TRIM(CLEAN(MID(C20,FIND("(",C20)+1,FIND("/",C20,1)-FIND("(",C20)-1)))))</f>
        <v>59</v>
      </c>
    </row>
    <row r="3" spans="1:5" ht="22.5" x14ac:dyDescent="0.2">
      <c r="A3" s="38" t="s">
        <v>15</v>
      </c>
      <c r="B3" s="39">
        <f>IF(ISERROR(VALUE(TRIM(CLEAN(MID(C21,FIND("/",C21)+1,FIND(")",C21,1)-FIND("/",C21)-1))))),0,VALUE(TRIM(CLEAN(MID(C21,FIND("/",C21)+1,FIND(")",C21,1)-FIND("/",C21)-1)))))</f>
        <v>4</v>
      </c>
      <c r="C3" s="40">
        <f>IF(ISERROR(VALUE(TRIM(CLEAN(MID(C21,FIND("(",C21)+1,FIND("/",C21,1)-FIND("(",C21)-1))))),0,VALUE(TRIM(CLEAN(MID(C21,FIND("(",C21)+1,FIND("/",C21,1)-FIND("(",C21)-1)))))</f>
        <v>4</v>
      </c>
      <c r="E3" s="29" t="s">
        <v>1</v>
      </c>
    </row>
    <row r="4" spans="1:5" ht="22.5" x14ac:dyDescent="0.2">
      <c r="A4" s="38" t="s">
        <v>16</v>
      </c>
      <c r="B4" s="39">
        <f>IF(ISERROR(VALUE(TRIM(CLEAN(MID(C23,FIND("/",C23)+1,FIND(")",C23,1)-FIND("/",C23)-1))))),0,VALUE(TRIM(CLEAN(MID(C23,FIND("/",C23)+1,FIND(")",C23,1)-FIND("/",C23)-1)))))</f>
        <v>102</v>
      </c>
      <c r="C4" s="40">
        <f>IF(ISERROR(VALUE(TRIM(CLEAN(MID(C23,FIND("(",C23)+1,FIND("/",C23,1)-FIND("(",C23)-1))))),0,VALUE(TRIM(CLEAN(MID(C23,FIND("(",C23)+1,FIND("/",C23,1)-FIND("(",C23)-1)))))</f>
        <v>102</v>
      </c>
      <c r="E4" s="29" t="s">
        <v>2</v>
      </c>
    </row>
    <row r="5" spans="1:5" ht="22.5" x14ac:dyDescent="0.2">
      <c r="A5" s="38" t="s">
        <v>17</v>
      </c>
      <c r="B5" s="39">
        <f>IF(ISERROR(VALUE(TRIM(CLEAN(MID(C24,FIND("/",C24)+1,FIND(")",C24,1)-FIND("/",C24)-1))))),0,VALUE(TRIM(CLEAN(MID(C24,FIND("/",C24)+1,FIND(")",C24,1)-FIND("/",C24)-1)))))</f>
        <v>29</v>
      </c>
      <c r="C5" s="40">
        <f>IF(ISERROR(VALUE(TRIM(CLEAN(MID(C24,FIND("(",C24)+1,FIND("/",C24,1)-FIND("(",C24)-1))))),0,VALUE(TRIM(CLEAN(MID(C24,FIND("(",C24)+1,FIND("/",C24,1)-FIND("(",C24)-1)))))</f>
        <v>29</v>
      </c>
    </row>
    <row r="6" spans="1:5" x14ac:dyDescent="0.2">
      <c r="A6" s="38"/>
      <c r="B6" s="39"/>
      <c r="C6" s="40"/>
    </row>
    <row r="7" spans="1:5" ht="13.5" thickBot="1" x14ac:dyDescent="0.25">
      <c r="A7" s="41" t="s">
        <v>13</v>
      </c>
      <c r="B7" s="42">
        <f>SUM(B2:B5)</f>
        <v>194</v>
      </c>
      <c r="C7" s="43">
        <f>SUM(C2:C5)</f>
        <v>194</v>
      </c>
    </row>
    <row r="8" spans="1:5" x14ac:dyDescent="0.2">
      <c r="A8" s="44"/>
      <c r="B8" s="45"/>
      <c r="C8" s="45"/>
    </row>
    <row r="9" spans="1:5" ht="13.5" thickBot="1" x14ac:dyDescent="0.25">
      <c r="A9" s="46"/>
      <c r="B9" s="45"/>
      <c r="C9" s="45"/>
    </row>
    <row r="10" spans="1:5" ht="24" thickTop="1" thickBot="1" x14ac:dyDescent="0.25">
      <c r="A10" s="47" t="s">
        <v>18</v>
      </c>
      <c r="B10" s="48">
        <f>B7-C7</f>
        <v>0</v>
      </c>
      <c r="C10" s="49"/>
    </row>
    <row r="11" spans="1:5" ht="13.5" thickBot="1" x14ac:dyDescent="0.25">
      <c r="A11" s="50" t="s">
        <v>21</v>
      </c>
      <c r="B11" s="51"/>
      <c r="C11" s="51">
        <f t="shared" ref="C11:C16" si="0">COUNTIF(G:G,A11)</f>
        <v>0</v>
      </c>
    </row>
    <row r="12" spans="1:5" ht="23.25" thickBot="1" x14ac:dyDescent="0.25">
      <c r="A12" s="50" t="s">
        <v>22</v>
      </c>
      <c r="B12" s="51"/>
      <c r="C12" s="51">
        <f t="shared" si="0"/>
        <v>0</v>
      </c>
    </row>
    <row r="13" spans="1:5" ht="23.25" thickBot="1" x14ac:dyDescent="0.25">
      <c r="A13" s="50" t="s">
        <v>23</v>
      </c>
      <c r="B13" s="51"/>
      <c r="C13" s="51">
        <f t="shared" si="0"/>
        <v>0</v>
      </c>
    </row>
    <row r="14" spans="1:5" ht="23.25" thickBot="1" x14ac:dyDescent="0.25">
      <c r="A14" s="50" t="s">
        <v>24</v>
      </c>
      <c r="B14" s="51"/>
      <c r="C14" s="51">
        <f t="shared" si="0"/>
        <v>0</v>
      </c>
    </row>
    <row r="15" spans="1:5" ht="13.5" thickBot="1" x14ac:dyDescent="0.25">
      <c r="A15" s="50" t="s">
        <v>19</v>
      </c>
      <c r="B15" s="51"/>
      <c r="C15" s="51">
        <f t="shared" si="0"/>
        <v>0</v>
      </c>
    </row>
    <row r="16" spans="1:5" ht="23.25" thickBot="1" x14ac:dyDescent="0.25">
      <c r="A16" s="50" t="s">
        <v>20</v>
      </c>
      <c r="B16" s="51"/>
      <c r="C16" s="51">
        <f t="shared" si="0"/>
        <v>0</v>
      </c>
    </row>
    <row r="17" spans="1:8" x14ac:dyDescent="0.2">
      <c r="C17" s="34">
        <f>SUM(C11:C16)</f>
        <v>0</v>
      </c>
    </row>
    <row r="18" spans="1:8" s="59" customFormat="1" ht="23.25" x14ac:dyDescent="0.25">
      <c r="A18" s="53" t="s">
        <v>3</v>
      </c>
      <c r="B18" s="54" t="s">
        <v>4</v>
      </c>
      <c r="C18" s="55" t="s">
        <v>6</v>
      </c>
      <c r="D18" s="55" t="s">
        <v>7</v>
      </c>
      <c r="E18" s="55" t="s">
        <v>5</v>
      </c>
      <c r="F18" s="56" t="s">
        <v>10</v>
      </c>
      <c r="G18" s="57" t="s">
        <v>9</v>
      </c>
      <c r="H18" s="58" t="s">
        <v>8</v>
      </c>
    </row>
    <row r="19" spans="1:8" x14ac:dyDescent="0.2">
      <c r="A19" s="34" t="s">
        <v>1591</v>
      </c>
    </row>
    <row r="20" spans="1:8" x14ac:dyDescent="0.2">
      <c r="C20" s="34" t="s">
        <v>1933</v>
      </c>
    </row>
    <row r="21" spans="1:8" x14ac:dyDescent="0.2">
      <c r="C21" s="34" t="s">
        <v>1057</v>
      </c>
    </row>
    <row r="22" spans="1:8" x14ac:dyDescent="0.2">
      <c r="C22" s="34" t="s">
        <v>1934</v>
      </c>
    </row>
    <row r="23" spans="1:8" x14ac:dyDescent="0.2">
      <c r="C23" s="34" t="s">
        <v>1935</v>
      </c>
    </row>
    <row r="24" spans="1:8" x14ac:dyDescent="0.2">
      <c r="C24" s="34" t="s">
        <v>1592</v>
      </c>
    </row>
    <row r="25" spans="1:8" x14ac:dyDescent="0.2">
      <c r="B25" s="34" t="s">
        <v>1593</v>
      </c>
    </row>
    <row r="26" spans="1:8" x14ac:dyDescent="0.2">
      <c r="D26" s="34" t="s">
        <v>703</v>
      </c>
    </row>
    <row r="27" spans="1:8" x14ac:dyDescent="0.2">
      <c r="D27" s="34" t="s">
        <v>704</v>
      </c>
    </row>
    <row r="28" spans="1:8" x14ac:dyDescent="0.2">
      <c r="D28" s="34" t="s">
        <v>705</v>
      </c>
    </row>
    <row r="29" spans="1:8" x14ac:dyDescent="0.2">
      <c r="D29" s="34" t="s">
        <v>711</v>
      </c>
    </row>
    <row r="30" spans="1:8" x14ac:dyDescent="0.2">
      <c r="D30" s="34" t="s">
        <v>712</v>
      </c>
    </row>
    <row r="31" spans="1:8" x14ac:dyDescent="0.2">
      <c r="B31" s="34" t="s">
        <v>1594</v>
      </c>
    </row>
    <row r="32" spans="1:8" x14ac:dyDescent="0.2">
      <c r="D32" s="34" t="s">
        <v>1936</v>
      </c>
    </row>
    <row r="33" spans="2:4" x14ac:dyDescent="0.2">
      <c r="D33" s="34" t="s">
        <v>1057</v>
      </c>
    </row>
    <row r="34" spans="2:4" x14ac:dyDescent="0.2">
      <c r="D34" s="34" t="s">
        <v>1937</v>
      </c>
    </row>
    <row r="35" spans="2:4" x14ac:dyDescent="0.2">
      <c r="D35" s="34" t="s">
        <v>1938</v>
      </c>
    </row>
    <row r="36" spans="2:4" x14ac:dyDescent="0.2">
      <c r="D36" s="34" t="s">
        <v>1229</v>
      </c>
    </row>
    <row r="37" spans="2:4" x14ac:dyDescent="0.2">
      <c r="B37" s="34" t="s">
        <v>1596</v>
      </c>
    </row>
    <row r="38" spans="2:4" x14ac:dyDescent="0.2">
      <c r="D38" s="34" t="s">
        <v>882</v>
      </c>
    </row>
    <row r="39" spans="2:4" x14ac:dyDescent="0.2">
      <c r="D39" s="34" t="s">
        <v>704</v>
      </c>
    </row>
    <row r="40" spans="2:4" x14ac:dyDescent="0.2">
      <c r="D40" s="34" t="s">
        <v>883</v>
      </c>
    </row>
    <row r="41" spans="2:4" x14ac:dyDescent="0.2">
      <c r="D41" s="34" t="s">
        <v>1033</v>
      </c>
    </row>
    <row r="42" spans="2:4" x14ac:dyDescent="0.2">
      <c r="D42" s="34" t="s">
        <v>1040</v>
      </c>
    </row>
    <row r="43" spans="2:4" x14ac:dyDescent="0.2">
      <c r="B43" s="34" t="s">
        <v>1597</v>
      </c>
    </row>
    <row r="44" spans="2:4" x14ac:dyDescent="0.2">
      <c r="D44" s="34" t="s">
        <v>703</v>
      </c>
    </row>
    <row r="45" spans="2:4" x14ac:dyDescent="0.2">
      <c r="D45" s="34" t="s">
        <v>704</v>
      </c>
    </row>
    <row r="46" spans="2:4" x14ac:dyDescent="0.2">
      <c r="D46" s="34" t="s">
        <v>705</v>
      </c>
    </row>
    <row r="47" spans="2:4" x14ac:dyDescent="0.2">
      <c r="D47" s="34" t="s">
        <v>711</v>
      </c>
    </row>
    <row r="48" spans="2:4" x14ac:dyDescent="0.2">
      <c r="D48" s="34" t="s">
        <v>712</v>
      </c>
    </row>
    <row r="49" spans="2:4" x14ac:dyDescent="0.2">
      <c r="B49" s="34" t="s">
        <v>1598</v>
      </c>
    </row>
    <row r="50" spans="2:4" x14ac:dyDescent="0.2">
      <c r="D50" s="34" t="s">
        <v>1012</v>
      </c>
    </row>
    <row r="51" spans="2:4" x14ac:dyDescent="0.2">
      <c r="D51" s="34" t="s">
        <v>704</v>
      </c>
    </row>
    <row r="52" spans="2:4" x14ac:dyDescent="0.2">
      <c r="D52" s="34" t="s">
        <v>1013</v>
      </c>
    </row>
    <row r="53" spans="2:4" x14ac:dyDescent="0.2">
      <c r="D53" s="34" t="s">
        <v>727</v>
      </c>
    </row>
    <row r="54" spans="2:4" x14ac:dyDescent="0.2">
      <c r="D54" s="34" t="s">
        <v>712</v>
      </c>
    </row>
    <row r="55" spans="2:4" x14ac:dyDescent="0.2">
      <c r="B55" s="34" t="s">
        <v>1599</v>
      </c>
    </row>
    <row r="56" spans="2:4" x14ac:dyDescent="0.2">
      <c r="D56" s="34" t="s">
        <v>703</v>
      </c>
    </row>
    <row r="57" spans="2:4" x14ac:dyDescent="0.2">
      <c r="D57" s="34" t="s">
        <v>704</v>
      </c>
    </row>
    <row r="58" spans="2:4" x14ac:dyDescent="0.2">
      <c r="D58" s="34" t="s">
        <v>705</v>
      </c>
    </row>
    <row r="59" spans="2:4" x14ac:dyDescent="0.2">
      <c r="D59" s="34" t="s">
        <v>711</v>
      </c>
    </row>
    <row r="60" spans="2:4" x14ac:dyDescent="0.2">
      <c r="D60" s="34" t="s">
        <v>712</v>
      </c>
    </row>
    <row r="61" spans="2:4" x14ac:dyDescent="0.2">
      <c r="B61" s="34" t="s">
        <v>1600</v>
      </c>
    </row>
    <row r="62" spans="2:4" x14ac:dyDescent="0.2">
      <c r="D62" s="34" t="s">
        <v>703</v>
      </c>
    </row>
    <row r="63" spans="2:4" x14ac:dyDescent="0.2">
      <c r="D63" s="34" t="s">
        <v>704</v>
      </c>
    </row>
    <row r="64" spans="2:4" x14ac:dyDescent="0.2">
      <c r="D64" s="34" t="s">
        <v>705</v>
      </c>
    </row>
    <row r="65" spans="4:4" x14ac:dyDescent="0.2">
      <c r="D65" s="34" t="s">
        <v>727</v>
      </c>
    </row>
    <row r="66" spans="4:4" x14ac:dyDescent="0.2">
      <c r="D66" s="34" t="s">
        <v>728</v>
      </c>
    </row>
  </sheetData>
  <autoFilter ref="A18:H18"/>
  <conditionalFormatting sqref="C17">
    <cfRule type="cellIs" dxfId="1" priority="1" stopIfTrue="1" operator="equal">
      <formula>$B$10</formula>
    </cfRule>
    <cfRule type="cellIs" dxfId="0"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tabColor indexed="11"/>
  </sheetPr>
  <dimension ref="A1:H48"/>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4</v>
      </c>
      <c r="C2" s="15">
        <f>IF(ISERROR(VALUE(TRIM(CLEAN(MID(C20,FIND("(",C20)+1,FIND("/",C20,1)-FIND("(",C20)-1))))),0,VALUE(TRIM(CLEAN(MID(C20,FIND("(",C20)+1,FIND("/",C20,1)-FIND("(",C20)-1)))))</f>
        <v>4</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0</v>
      </c>
      <c r="C4" s="16">
        <f>IF(ISERROR(VALUE(TRIM(CLEAN(MID(C23,FIND("(",C23)+1,FIND("/",C23,1)-FIND("(",C23)-1))))),0,VALUE(TRIM(CLEAN(MID(C23,FIND("(",C23)+1,FIND("/",C23,1)-FIND("(",C23)-1)))))</f>
        <v>0</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4</v>
      </c>
      <c r="C7" s="17">
        <f>SUM(C2:C5)</f>
        <v>4</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1602</v>
      </c>
    </row>
    <row r="20" spans="1:8" x14ac:dyDescent="0.2">
      <c r="C20" s="5" t="s">
        <v>877</v>
      </c>
    </row>
    <row r="21" spans="1:8" x14ac:dyDescent="0.2">
      <c r="C21" s="5" t="s">
        <v>704</v>
      </c>
    </row>
    <row r="22" spans="1:8" x14ac:dyDescent="0.2">
      <c r="C22" s="5" t="s">
        <v>878</v>
      </c>
    </row>
    <row r="23" spans="1:8" x14ac:dyDescent="0.2">
      <c r="C23" s="5" t="s">
        <v>711</v>
      </c>
    </row>
    <row r="24" spans="1:8" x14ac:dyDescent="0.2">
      <c r="C24" s="5" t="s">
        <v>712</v>
      </c>
    </row>
    <row r="25" spans="1:8" x14ac:dyDescent="0.2">
      <c r="B25" s="5" t="s">
        <v>1603</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1604</v>
      </c>
    </row>
    <row r="32" spans="1:8" x14ac:dyDescent="0.2">
      <c r="D32" s="5" t="s">
        <v>703</v>
      </c>
    </row>
    <row r="33" spans="2:4" x14ac:dyDescent="0.2">
      <c r="D33" s="5" t="s">
        <v>704</v>
      </c>
    </row>
    <row r="34" spans="2:4" x14ac:dyDescent="0.2">
      <c r="D34" s="5" t="s">
        <v>705</v>
      </c>
    </row>
    <row r="35" spans="2:4" x14ac:dyDescent="0.2">
      <c r="D35" s="5" t="s">
        <v>711</v>
      </c>
    </row>
    <row r="36" spans="2:4" x14ac:dyDescent="0.2">
      <c r="D36" s="5" t="s">
        <v>712</v>
      </c>
    </row>
    <row r="37" spans="2:4" x14ac:dyDescent="0.2">
      <c r="B37" s="5" t="s">
        <v>1605</v>
      </c>
    </row>
    <row r="38" spans="2:4" x14ac:dyDescent="0.2">
      <c r="D38" s="5" t="s">
        <v>703</v>
      </c>
    </row>
    <row r="39" spans="2:4" x14ac:dyDescent="0.2">
      <c r="D39" s="5" t="s">
        <v>704</v>
      </c>
    </row>
    <row r="40" spans="2:4" x14ac:dyDescent="0.2">
      <c r="D40" s="5" t="s">
        <v>705</v>
      </c>
    </row>
    <row r="41" spans="2:4" x14ac:dyDescent="0.2">
      <c r="D41" s="5" t="s">
        <v>711</v>
      </c>
    </row>
    <row r="42" spans="2:4" x14ac:dyDescent="0.2">
      <c r="D42" s="5" t="s">
        <v>712</v>
      </c>
    </row>
    <row r="43" spans="2:4" x14ac:dyDescent="0.2">
      <c r="B43" s="5" t="s">
        <v>1606</v>
      </c>
    </row>
    <row r="44" spans="2:4" x14ac:dyDescent="0.2">
      <c r="D44" s="5" t="s">
        <v>703</v>
      </c>
    </row>
    <row r="45" spans="2:4" x14ac:dyDescent="0.2">
      <c r="D45" s="5" t="s">
        <v>704</v>
      </c>
    </row>
    <row r="46" spans="2:4" x14ac:dyDescent="0.2">
      <c r="D46" s="5" t="s">
        <v>705</v>
      </c>
    </row>
    <row r="47" spans="2:4" x14ac:dyDescent="0.2">
      <c r="D47" s="5" t="s">
        <v>711</v>
      </c>
    </row>
    <row r="48" spans="2:4" x14ac:dyDescent="0.2">
      <c r="D48" s="5" t="s">
        <v>712</v>
      </c>
    </row>
  </sheetData>
  <autoFilter ref="A18:H18"/>
  <conditionalFormatting sqref="C17">
    <cfRule type="cellIs" dxfId="29" priority="1" stopIfTrue="1" operator="equal">
      <formula>$B$10</formula>
    </cfRule>
    <cfRule type="cellIs" dxfId="28"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4</v>
      </c>
      <c r="C2" s="15">
        <f>IF(ISERROR(VALUE(TRIM(CLEAN(MID(C20,FIND("(",C20)+1,FIND("/",C20,1)-FIND("(",C20)-1))))),0,VALUE(TRIM(CLEAN(MID(C20,FIND("(",C20)+1,FIND("/",C20,1)-FIND("(",C20)-1)))))</f>
        <v>4</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16</v>
      </c>
      <c r="C4" s="16">
        <f>IF(ISERROR(VALUE(TRIM(CLEAN(MID(C23,FIND("(",C23)+1,FIND("/",C23,1)-FIND("(",C23)-1))))),0,VALUE(TRIM(CLEAN(MID(C23,FIND("(",C23)+1,FIND("/",C23,1)-FIND("(",C23)-1)))))</f>
        <v>16</v>
      </c>
      <c r="E4" s="29" t="s">
        <v>2</v>
      </c>
    </row>
    <row r="5" spans="1:5" ht="22.5" x14ac:dyDescent="0.2">
      <c r="A5" s="20" t="s">
        <v>17</v>
      </c>
      <c r="B5" s="21">
        <f>IF(ISERROR(VALUE(TRIM(CLEAN(MID(C24,FIND("/",C24)+1,FIND(")",C24,1)-FIND("/",C24)-1))))),0,VALUE(TRIM(CLEAN(MID(C24,FIND("/",C24)+1,FIND(")",C24,1)-FIND("/",C24)-1)))))</f>
        <v>7</v>
      </c>
      <c r="C5" s="16">
        <f>IF(ISERROR(VALUE(TRIM(CLEAN(MID(C24,FIND("(",C24)+1,FIND("/",C24,1)-FIND("(",C24)-1))))),0,VALUE(TRIM(CLEAN(MID(C24,FIND("(",C24)+1,FIND("/",C24,1)-FIND("(",C24)-1)))))</f>
        <v>7</v>
      </c>
    </row>
    <row r="6" spans="1:5" x14ac:dyDescent="0.2">
      <c r="A6" s="20"/>
      <c r="B6" s="21"/>
      <c r="C6" s="16"/>
    </row>
    <row r="7" spans="1:5" ht="13.5" thickBot="1" x14ac:dyDescent="0.25">
      <c r="A7" s="22" t="s">
        <v>13</v>
      </c>
      <c r="B7" s="23">
        <f>SUM(B2:B5)</f>
        <v>27</v>
      </c>
      <c r="C7" s="17">
        <f>SUM(C2:C5)</f>
        <v>27</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1608</v>
      </c>
    </row>
    <row r="20" spans="1:8" x14ac:dyDescent="0.2">
      <c r="C20" s="5" t="s">
        <v>877</v>
      </c>
    </row>
    <row r="21" spans="1:8" x14ac:dyDescent="0.2">
      <c r="C21" s="5" t="s">
        <v>704</v>
      </c>
    </row>
    <row r="22" spans="1:8" x14ac:dyDescent="0.2">
      <c r="C22" s="5" t="s">
        <v>878</v>
      </c>
    </row>
    <row r="23" spans="1:8" x14ac:dyDescent="0.2">
      <c r="C23" s="5" t="s">
        <v>1006</v>
      </c>
    </row>
    <row r="24" spans="1:8" x14ac:dyDescent="0.2">
      <c r="C24" s="5" t="s">
        <v>1040</v>
      </c>
    </row>
    <row r="25" spans="1:8" x14ac:dyDescent="0.2">
      <c r="B25" s="5" t="s">
        <v>1609</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1610</v>
      </c>
    </row>
    <row r="32" spans="1:8" x14ac:dyDescent="0.2">
      <c r="D32" s="5" t="s">
        <v>882</v>
      </c>
    </row>
    <row r="33" spans="4:4" x14ac:dyDescent="0.2">
      <c r="D33" s="5" t="s">
        <v>704</v>
      </c>
    </row>
    <row r="34" spans="4:4" x14ac:dyDescent="0.2">
      <c r="D34" s="5" t="s">
        <v>883</v>
      </c>
    </row>
    <row r="35" spans="4:4" x14ac:dyDescent="0.2">
      <c r="D35" s="5" t="s">
        <v>1006</v>
      </c>
    </row>
    <row r="36" spans="4:4" x14ac:dyDescent="0.2">
      <c r="D36" s="5" t="s">
        <v>1040</v>
      </c>
    </row>
  </sheetData>
  <autoFilter ref="A18:H18"/>
  <conditionalFormatting sqref="C17">
    <cfRule type="cellIs" dxfId="27" priority="1" stopIfTrue="1" operator="equal">
      <formula>$B$10</formula>
    </cfRule>
    <cfRule type="cellIs" dxfId="26"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tabColor indexed="11"/>
  </sheetPr>
  <dimension ref="A1:H56"/>
  <sheetViews>
    <sheetView topLeftCell="A7" workbookViewId="0">
      <selection activeCell="F45" sqref="F45:H49"/>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13</v>
      </c>
      <c r="C2" s="15">
        <f>IF(ISERROR(VALUE(TRIM(CLEAN(MID(C20,FIND("(",C20)+1,FIND("/",C20,1)-FIND("(",C20)-1))))),0,VALUE(TRIM(CLEAN(MID(C20,FIND("(",C20)+1,FIND("/",C20,1)-FIND("(",C20)-1)))))</f>
        <v>12</v>
      </c>
    </row>
    <row r="3" spans="1:5" ht="22.5" x14ac:dyDescent="0.2">
      <c r="A3" s="20" t="s">
        <v>15</v>
      </c>
      <c r="B3" s="21">
        <f>IF(ISERROR(VALUE(TRIM(CLEAN(MID(C21,FIND("/",C21)+1,FIND(")",C21,1)-FIND("/",C21)-1))))),0,VALUE(TRIM(CLEAN(MID(C21,FIND("/",C21)+1,FIND(")",C21,1)-FIND("/",C21)-1)))))</f>
        <v>1</v>
      </c>
      <c r="C3" s="16">
        <f>IF(ISERROR(VALUE(TRIM(CLEAN(MID(C21,FIND("(",C21)+1,FIND("/",C21,1)-FIND("(",C21)-1))))),0,VALUE(TRIM(CLEAN(MID(C21,FIND("(",C21)+1,FIND("/",C21,1)-FIND("(",C21)-1)))))</f>
        <v>1</v>
      </c>
      <c r="E3" s="29" t="s">
        <v>1</v>
      </c>
    </row>
    <row r="4" spans="1:5" ht="22.5" x14ac:dyDescent="0.2">
      <c r="A4" s="20" t="s">
        <v>16</v>
      </c>
      <c r="B4" s="21">
        <f>IF(ISERROR(VALUE(TRIM(CLEAN(MID(C23,FIND("/",C23)+1,FIND(")",C23,1)-FIND("/",C23)-1))))),0,VALUE(TRIM(CLEAN(MID(C23,FIND("/",C23)+1,FIND(")",C23,1)-FIND("/",C23)-1)))))</f>
        <v>99</v>
      </c>
      <c r="C4" s="16">
        <f>IF(ISERROR(VALUE(TRIM(CLEAN(MID(C23,FIND("(",C23)+1,FIND("/",C23,1)-FIND("(",C23)-1))))),0,VALUE(TRIM(CLEAN(MID(C23,FIND("(",C23)+1,FIND("/",C23,1)-FIND("(",C23)-1)))))</f>
        <v>98</v>
      </c>
      <c r="E4" s="29" t="s">
        <v>2</v>
      </c>
    </row>
    <row r="5" spans="1:5" ht="22.5" x14ac:dyDescent="0.2">
      <c r="A5" s="20" t="s">
        <v>17</v>
      </c>
      <c r="B5" s="21">
        <f>IF(ISERROR(VALUE(TRIM(CLEAN(MID(C24,FIND("/",C24)+1,FIND(")",C24,1)-FIND("/",C24)-1))))),0,VALUE(TRIM(CLEAN(MID(C24,FIND("/",C24)+1,FIND(")",C24,1)-FIND("/",C24)-1)))))</f>
        <v>45</v>
      </c>
      <c r="C5" s="16">
        <f>IF(ISERROR(VALUE(TRIM(CLEAN(MID(C24,FIND("(",C24)+1,FIND("/",C24,1)-FIND("(",C24)-1))))),0,VALUE(TRIM(CLEAN(MID(C24,FIND("(",C24)+1,FIND("/",C24,1)-FIND("(",C24)-1)))))</f>
        <v>45</v>
      </c>
    </row>
    <row r="6" spans="1:5" x14ac:dyDescent="0.2">
      <c r="A6" s="20"/>
      <c r="B6" s="21"/>
      <c r="C6" s="16"/>
    </row>
    <row r="7" spans="1:5" ht="13.5" thickBot="1" x14ac:dyDescent="0.25">
      <c r="A7" s="22" t="s">
        <v>13</v>
      </c>
      <c r="B7" s="23">
        <f>SUM(B2:B5)</f>
        <v>158</v>
      </c>
      <c r="C7" s="17">
        <f>SUM(C2:C5)</f>
        <v>156</v>
      </c>
    </row>
    <row r="8" spans="1:5" x14ac:dyDescent="0.2">
      <c r="A8" s="12"/>
      <c r="B8" s="7"/>
      <c r="C8" s="7"/>
    </row>
    <row r="9" spans="1:5" ht="13.5" thickBot="1" x14ac:dyDescent="0.25">
      <c r="A9" s="10"/>
      <c r="B9" s="7"/>
      <c r="C9" s="7"/>
    </row>
    <row r="10" spans="1:5" ht="24" thickTop="1" thickBot="1" x14ac:dyDescent="0.25">
      <c r="A10" s="24" t="s">
        <v>18</v>
      </c>
      <c r="B10" s="26">
        <f>B7-C7</f>
        <v>2</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2</v>
      </c>
    </row>
    <row r="16" spans="1:5" ht="23.25" thickBot="1" x14ac:dyDescent="0.25">
      <c r="A16" s="25" t="s">
        <v>20</v>
      </c>
      <c r="B16" s="28"/>
      <c r="C16" s="28">
        <f t="shared" si="0"/>
        <v>0</v>
      </c>
    </row>
    <row r="17" spans="1:8" x14ac:dyDescent="0.2">
      <c r="C17" s="5">
        <f>SUM(C11:C16)</f>
        <v>2</v>
      </c>
    </row>
    <row r="18" spans="1:8" customFormat="1" ht="23.25" x14ac:dyDescent="0.25">
      <c r="A18" s="4" t="s">
        <v>3</v>
      </c>
      <c r="B18" s="6" t="s">
        <v>4</v>
      </c>
      <c r="C18" s="8" t="s">
        <v>6</v>
      </c>
      <c r="D18" s="8" t="s">
        <v>7</v>
      </c>
      <c r="E18" s="8" t="s">
        <v>5</v>
      </c>
      <c r="F18" s="3" t="s">
        <v>10</v>
      </c>
      <c r="G18" s="1" t="s">
        <v>9</v>
      </c>
      <c r="H18" s="2" t="s">
        <v>8</v>
      </c>
    </row>
    <row r="19" spans="1:8" x14ac:dyDescent="0.2">
      <c r="A19" s="5" t="s">
        <v>1612</v>
      </c>
    </row>
    <row r="20" spans="1:8" x14ac:dyDescent="0.2">
      <c r="C20" s="5" t="s">
        <v>1613</v>
      </c>
    </row>
    <row r="21" spans="1:8" x14ac:dyDescent="0.2">
      <c r="C21" s="5" t="s">
        <v>859</v>
      </c>
    </row>
    <row r="22" spans="1:8" x14ac:dyDescent="0.2">
      <c r="C22" s="5" t="s">
        <v>1614</v>
      </c>
    </row>
    <row r="23" spans="1:8" x14ac:dyDescent="0.2">
      <c r="C23" s="5" t="s">
        <v>1615</v>
      </c>
    </row>
    <row r="24" spans="1:8" x14ac:dyDescent="0.2">
      <c r="C24" s="5" t="s">
        <v>1616</v>
      </c>
    </row>
    <row r="25" spans="1:8" x14ac:dyDescent="0.2">
      <c r="B25" s="5" t="s">
        <v>1617</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1618</v>
      </c>
    </row>
    <row r="32" spans="1:8" x14ac:dyDescent="0.2">
      <c r="D32" s="5" t="s">
        <v>703</v>
      </c>
    </row>
    <row r="33" spans="2:8" x14ac:dyDescent="0.2">
      <c r="D33" s="5" t="s">
        <v>704</v>
      </c>
    </row>
    <row r="34" spans="2:8" x14ac:dyDescent="0.2">
      <c r="D34" s="5" t="s">
        <v>705</v>
      </c>
    </row>
    <row r="35" spans="2:8" x14ac:dyDescent="0.2">
      <c r="D35" s="5" t="s">
        <v>711</v>
      </c>
    </row>
    <row r="36" spans="2:8" x14ac:dyDescent="0.2">
      <c r="D36" s="5" t="s">
        <v>712</v>
      </c>
    </row>
    <row r="37" spans="2:8" x14ac:dyDescent="0.2">
      <c r="B37" s="5" t="s">
        <v>1619</v>
      </c>
    </row>
    <row r="38" spans="2:8" x14ac:dyDescent="0.2">
      <c r="D38" s="5" t="s">
        <v>703</v>
      </c>
    </row>
    <row r="39" spans="2:8" x14ac:dyDescent="0.2">
      <c r="D39" s="5" t="s">
        <v>704</v>
      </c>
    </row>
    <row r="40" spans="2:8" x14ac:dyDescent="0.2">
      <c r="D40" s="5" t="s">
        <v>705</v>
      </c>
    </row>
    <row r="41" spans="2:8" x14ac:dyDescent="0.2">
      <c r="D41" s="5" t="s">
        <v>711</v>
      </c>
    </row>
    <row r="42" spans="2:8" x14ac:dyDescent="0.2">
      <c r="D42" s="5" t="s">
        <v>712</v>
      </c>
    </row>
    <row r="43" spans="2:8" x14ac:dyDescent="0.2">
      <c r="B43" s="5" t="s">
        <v>1620</v>
      </c>
    </row>
    <row r="44" spans="2:8" x14ac:dyDescent="0.2">
      <c r="D44" s="5" t="s">
        <v>971</v>
      </c>
    </row>
    <row r="45" spans="2:8" x14ac:dyDescent="0.2">
      <c r="E45" s="5" t="s">
        <v>1621</v>
      </c>
      <c r="F45" s="5">
        <v>383</v>
      </c>
      <c r="G45" s="5" t="s">
        <v>19</v>
      </c>
      <c r="H45" s="5" t="s">
        <v>1925</v>
      </c>
    </row>
    <row r="46" spans="2:8" x14ac:dyDescent="0.2">
      <c r="D46" s="5" t="s">
        <v>859</v>
      </c>
    </row>
    <row r="47" spans="2:8" x14ac:dyDescent="0.2">
      <c r="D47" s="5" t="s">
        <v>973</v>
      </c>
    </row>
    <row r="48" spans="2:8" x14ac:dyDescent="0.2">
      <c r="D48" s="5" t="s">
        <v>1615</v>
      </c>
    </row>
    <row r="49" spans="2:8" x14ac:dyDescent="0.2">
      <c r="E49" s="5" t="s">
        <v>1622</v>
      </c>
      <c r="F49" s="5">
        <v>383</v>
      </c>
      <c r="G49" s="5" t="s">
        <v>19</v>
      </c>
      <c r="H49" s="5" t="s">
        <v>1925</v>
      </c>
    </row>
    <row r="50" spans="2:8" x14ac:dyDescent="0.2">
      <c r="D50" s="5" t="s">
        <v>1616</v>
      </c>
    </row>
    <row r="51" spans="2:8" x14ac:dyDescent="0.2">
      <c r="B51" s="5" t="s">
        <v>1623</v>
      </c>
    </row>
    <row r="52" spans="2:8" x14ac:dyDescent="0.2">
      <c r="D52" s="5" t="s">
        <v>703</v>
      </c>
    </row>
    <row r="53" spans="2:8" x14ac:dyDescent="0.2">
      <c r="D53" s="5" t="s">
        <v>704</v>
      </c>
    </row>
    <row r="54" spans="2:8" x14ac:dyDescent="0.2">
      <c r="D54" s="5" t="s">
        <v>705</v>
      </c>
    </row>
    <row r="55" spans="2:8" x14ac:dyDescent="0.2">
      <c r="D55" s="5" t="s">
        <v>711</v>
      </c>
    </row>
    <row r="56" spans="2:8" x14ac:dyDescent="0.2">
      <c r="D56" s="5" t="s">
        <v>712</v>
      </c>
    </row>
  </sheetData>
  <autoFilter ref="A18:H18"/>
  <conditionalFormatting sqref="C17">
    <cfRule type="cellIs" dxfId="25" priority="1" stopIfTrue="1" operator="equal">
      <formula>$B$10</formula>
    </cfRule>
    <cfRule type="cellIs" dxfId="24"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tabColor indexed="11"/>
  </sheetPr>
  <dimension ref="A1:H30"/>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5</v>
      </c>
      <c r="C2" s="15">
        <f>IF(ISERROR(VALUE(TRIM(CLEAN(MID(C20,FIND("(",C20)+1,FIND("/",C20,1)-FIND("(",C20)-1))))),0,VALUE(TRIM(CLEAN(MID(C20,FIND("(",C20)+1,FIND("/",C20,1)-FIND("(",C20)-1)))))</f>
        <v>5</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4</v>
      </c>
      <c r="C4" s="16">
        <f>IF(ISERROR(VALUE(TRIM(CLEAN(MID(C23,FIND("(",C23)+1,FIND("/",C23,1)-FIND("(",C23)-1))))),0,VALUE(TRIM(CLEAN(MID(C23,FIND("(",C23)+1,FIND("/",C23,1)-FIND("(",C23)-1)))))</f>
        <v>4</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9</v>
      </c>
      <c r="C7" s="17">
        <f>SUM(C2:C5)</f>
        <v>9</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1625</v>
      </c>
    </row>
    <row r="20" spans="1:8" x14ac:dyDescent="0.2">
      <c r="C20" s="5" t="s">
        <v>864</v>
      </c>
    </row>
    <row r="21" spans="1:8" x14ac:dyDescent="0.2">
      <c r="C21" s="5" t="s">
        <v>704</v>
      </c>
    </row>
    <row r="22" spans="1:8" x14ac:dyDescent="0.2">
      <c r="C22" s="5" t="s">
        <v>865</v>
      </c>
    </row>
    <row r="23" spans="1:8" x14ac:dyDescent="0.2">
      <c r="C23" s="5" t="s">
        <v>706</v>
      </c>
    </row>
    <row r="24" spans="1:8" x14ac:dyDescent="0.2">
      <c r="C24" s="5" t="s">
        <v>712</v>
      </c>
    </row>
    <row r="25" spans="1:8" x14ac:dyDescent="0.2">
      <c r="B25" s="5" t="s">
        <v>1626</v>
      </c>
    </row>
    <row r="26" spans="1:8" x14ac:dyDescent="0.2">
      <c r="D26" s="5" t="s">
        <v>864</v>
      </c>
    </row>
    <row r="27" spans="1:8" x14ac:dyDescent="0.2">
      <c r="D27" s="5" t="s">
        <v>704</v>
      </c>
    </row>
    <row r="28" spans="1:8" x14ac:dyDescent="0.2">
      <c r="D28" s="5" t="s">
        <v>865</v>
      </c>
    </row>
    <row r="29" spans="1:8" x14ac:dyDescent="0.2">
      <c r="D29" s="5" t="s">
        <v>706</v>
      </c>
    </row>
    <row r="30" spans="1:8" x14ac:dyDescent="0.2">
      <c r="D30" s="5" t="s">
        <v>712</v>
      </c>
    </row>
  </sheetData>
  <autoFilter ref="A18:H18"/>
  <conditionalFormatting sqref="C17">
    <cfRule type="cellIs" dxfId="23" priority="1" stopIfTrue="1" operator="equal">
      <formula>$B$10</formula>
    </cfRule>
    <cfRule type="cellIs" dxfId="22"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tabColor indexed="11"/>
  </sheetPr>
  <dimension ref="A1:H30"/>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5</v>
      </c>
      <c r="C2" s="15">
        <f>IF(ISERROR(VALUE(TRIM(CLEAN(MID(C20,FIND("(",C20)+1,FIND("/",C20,1)-FIND("(",C20)-1))))),0,VALUE(TRIM(CLEAN(MID(C20,FIND("(",C20)+1,FIND("/",C20,1)-FIND("(",C20)-1)))))</f>
        <v>5</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6</v>
      </c>
      <c r="C4" s="16">
        <f>IF(ISERROR(VALUE(TRIM(CLEAN(MID(C23,FIND("(",C23)+1,FIND("/",C23,1)-FIND("(",C23)-1))))),0,VALUE(TRIM(CLEAN(MID(C23,FIND("(",C23)+1,FIND("/",C23,1)-FIND("(",C23)-1)))))</f>
        <v>6</v>
      </c>
      <c r="E4" s="29" t="s">
        <v>2</v>
      </c>
    </row>
    <row r="5" spans="1:5" ht="22.5" x14ac:dyDescent="0.2">
      <c r="A5" s="20" t="s">
        <v>17</v>
      </c>
      <c r="B5" s="21">
        <f>IF(ISERROR(VALUE(TRIM(CLEAN(MID(C24,FIND("/",C24)+1,FIND(")",C24,1)-FIND("/",C24)-1))))),0,VALUE(TRIM(CLEAN(MID(C24,FIND("/",C24)+1,FIND(")",C24,1)-FIND("/",C24)-1)))))</f>
        <v>2</v>
      </c>
      <c r="C5" s="16">
        <f>IF(ISERROR(VALUE(TRIM(CLEAN(MID(C24,FIND("(",C24)+1,FIND("/",C24,1)-FIND("(",C24)-1))))),0,VALUE(TRIM(CLEAN(MID(C24,FIND("(",C24)+1,FIND("/",C24,1)-FIND("(",C24)-1)))))</f>
        <v>2</v>
      </c>
    </row>
    <row r="6" spans="1:5" x14ac:dyDescent="0.2">
      <c r="A6" s="20"/>
      <c r="B6" s="21"/>
      <c r="C6" s="16"/>
    </row>
    <row r="7" spans="1:5" ht="13.5" thickBot="1" x14ac:dyDescent="0.25">
      <c r="A7" s="22" t="s">
        <v>13</v>
      </c>
      <c r="B7" s="23">
        <f>SUM(B2:B5)</f>
        <v>13</v>
      </c>
      <c r="C7" s="17">
        <f>SUM(C2:C5)</f>
        <v>13</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1628</v>
      </c>
    </row>
    <row r="20" spans="1:8" x14ac:dyDescent="0.2">
      <c r="C20" s="5" t="s">
        <v>864</v>
      </c>
    </row>
    <row r="21" spans="1:8" x14ac:dyDescent="0.2">
      <c r="C21" s="5" t="s">
        <v>704</v>
      </c>
    </row>
    <row r="22" spans="1:8" x14ac:dyDescent="0.2">
      <c r="C22" s="5" t="s">
        <v>865</v>
      </c>
    </row>
    <row r="23" spans="1:8" x14ac:dyDescent="0.2">
      <c r="C23" s="5" t="s">
        <v>727</v>
      </c>
    </row>
    <row r="24" spans="1:8" x14ac:dyDescent="0.2">
      <c r="C24" s="5" t="s">
        <v>707</v>
      </c>
    </row>
    <row r="25" spans="1:8" x14ac:dyDescent="0.2">
      <c r="B25" s="5" t="s">
        <v>1629</v>
      </c>
    </row>
    <row r="26" spans="1:8" x14ac:dyDescent="0.2">
      <c r="D26" s="5" t="s">
        <v>864</v>
      </c>
    </row>
    <row r="27" spans="1:8" x14ac:dyDescent="0.2">
      <c r="D27" s="5" t="s">
        <v>704</v>
      </c>
    </row>
    <row r="28" spans="1:8" x14ac:dyDescent="0.2">
      <c r="D28" s="5" t="s">
        <v>865</v>
      </c>
    </row>
    <row r="29" spans="1:8" x14ac:dyDescent="0.2">
      <c r="D29" s="5" t="s">
        <v>727</v>
      </c>
    </row>
    <row r="30" spans="1:8" x14ac:dyDescent="0.2">
      <c r="D30" s="5" t="s">
        <v>707</v>
      </c>
    </row>
  </sheetData>
  <autoFilter ref="A18:H18"/>
  <conditionalFormatting sqref="C17">
    <cfRule type="cellIs" dxfId="21" priority="1" stopIfTrue="1" operator="equal">
      <formula>$B$10</formula>
    </cfRule>
    <cfRule type="cellIs" dxfId="20"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tabColor indexed="11"/>
  </sheetPr>
  <dimension ref="A1:H48"/>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11</v>
      </c>
      <c r="C2" s="15">
        <f>IF(ISERROR(VALUE(TRIM(CLEAN(MID(C20,FIND("(",C20)+1,FIND("/",C20,1)-FIND("(",C20)-1))))),0,VALUE(TRIM(CLEAN(MID(C20,FIND("(",C20)+1,FIND("/",C20,1)-FIND("(",C20)-1)))))</f>
        <v>11</v>
      </c>
    </row>
    <row r="3" spans="1:5" ht="22.5" x14ac:dyDescent="0.2">
      <c r="A3" s="20" t="s">
        <v>15</v>
      </c>
      <c r="B3" s="21">
        <f>IF(ISERROR(VALUE(TRIM(CLEAN(MID(C21,FIND("/",C21)+1,FIND(")",C21,1)-FIND("/",C21)-1))))),0,VALUE(TRIM(CLEAN(MID(C21,FIND("/",C21)+1,FIND(")",C21,1)-FIND("/",C21)-1)))))</f>
        <v>3</v>
      </c>
      <c r="C3" s="16">
        <f>IF(ISERROR(VALUE(TRIM(CLEAN(MID(C21,FIND("(",C21)+1,FIND("/",C21,1)-FIND("(",C21)-1))))),0,VALUE(TRIM(CLEAN(MID(C21,FIND("(",C21)+1,FIND("/",C21,1)-FIND("(",C21)-1)))))</f>
        <v>3</v>
      </c>
      <c r="E3" s="29" t="s">
        <v>1</v>
      </c>
    </row>
    <row r="4" spans="1:5" ht="22.5" x14ac:dyDescent="0.2">
      <c r="A4" s="20" t="s">
        <v>16</v>
      </c>
      <c r="B4" s="21">
        <f>IF(ISERROR(VALUE(TRIM(CLEAN(MID(C23,FIND("/",C23)+1,FIND(")",C23,1)-FIND("/",C23)-1))))),0,VALUE(TRIM(CLEAN(MID(C23,FIND("/",C23)+1,FIND(")",C23,1)-FIND("/",C23)-1)))))</f>
        <v>42</v>
      </c>
      <c r="C4" s="16">
        <f>IF(ISERROR(VALUE(TRIM(CLEAN(MID(C23,FIND("(",C23)+1,FIND("/",C23,1)-FIND("(",C23)-1))))),0,VALUE(TRIM(CLEAN(MID(C23,FIND("(",C23)+1,FIND("/",C23,1)-FIND("(",C23)-1)))))</f>
        <v>42</v>
      </c>
      <c r="E4" s="29" t="s">
        <v>2</v>
      </c>
    </row>
    <row r="5" spans="1:5" ht="22.5" x14ac:dyDescent="0.2">
      <c r="A5" s="20" t="s">
        <v>17</v>
      </c>
      <c r="B5" s="21">
        <f>IF(ISERROR(VALUE(TRIM(CLEAN(MID(C24,FIND("/",C24)+1,FIND(")",C24,1)-FIND("/",C24)-1))))),0,VALUE(TRIM(CLEAN(MID(C24,FIND("/",C24)+1,FIND(")",C24,1)-FIND("/",C24)-1)))))</f>
        <v>16</v>
      </c>
      <c r="C5" s="16">
        <f>IF(ISERROR(VALUE(TRIM(CLEAN(MID(C24,FIND("(",C24)+1,FIND("/",C24,1)-FIND("(",C24)-1))))),0,VALUE(TRIM(CLEAN(MID(C24,FIND("(",C24)+1,FIND("/",C24,1)-FIND("(",C24)-1)))))</f>
        <v>16</v>
      </c>
    </row>
    <row r="6" spans="1:5" x14ac:dyDescent="0.2">
      <c r="A6" s="20"/>
      <c r="B6" s="21"/>
      <c r="C6" s="16"/>
    </row>
    <row r="7" spans="1:5" ht="13.5" thickBot="1" x14ac:dyDescent="0.25">
      <c r="A7" s="22" t="s">
        <v>13</v>
      </c>
      <c r="B7" s="23">
        <f>SUM(B2:B5)</f>
        <v>72</v>
      </c>
      <c r="C7" s="17">
        <f>SUM(C2:C5)</f>
        <v>72</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1631</v>
      </c>
    </row>
    <row r="20" spans="1:8" x14ac:dyDescent="0.2">
      <c r="C20" s="5" t="s">
        <v>838</v>
      </c>
    </row>
    <row r="21" spans="1:8" x14ac:dyDescent="0.2">
      <c r="C21" s="5" t="s">
        <v>897</v>
      </c>
    </row>
    <row r="22" spans="1:8" x14ac:dyDescent="0.2">
      <c r="C22" s="5" t="s">
        <v>835</v>
      </c>
    </row>
    <row r="23" spans="1:8" x14ac:dyDescent="0.2">
      <c r="C23" s="5" t="s">
        <v>1632</v>
      </c>
    </row>
    <row r="24" spans="1:8" x14ac:dyDescent="0.2">
      <c r="C24" s="5" t="s">
        <v>1633</v>
      </c>
    </row>
    <row r="25" spans="1:8" x14ac:dyDescent="0.2">
      <c r="B25" s="5" t="s">
        <v>1634</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1635</v>
      </c>
    </row>
    <row r="32" spans="1:8" x14ac:dyDescent="0.2">
      <c r="D32" s="5" t="s">
        <v>703</v>
      </c>
    </row>
    <row r="33" spans="2:4" x14ac:dyDescent="0.2">
      <c r="D33" s="5" t="s">
        <v>704</v>
      </c>
    </row>
    <row r="34" spans="2:4" x14ac:dyDescent="0.2">
      <c r="D34" s="5" t="s">
        <v>705</v>
      </c>
    </row>
    <row r="35" spans="2:4" x14ac:dyDescent="0.2">
      <c r="D35" s="5" t="s">
        <v>711</v>
      </c>
    </row>
    <row r="36" spans="2:4" x14ac:dyDescent="0.2">
      <c r="D36" s="5" t="s">
        <v>712</v>
      </c>
    </row>
    <row r="37" spans="2:4" x14ac:dyDescent="0.2">
      <c r="B37" s="5" t="s">
        <v>1636</v>
      </c>
    </row>
    <row r="38" spans="2:4" x14ac:dyDescent="0.2">
      <c r="D38" s="5" t="s">
        <v>1263</v>
      </c>
    </row>
    <row r="39" spans="2:4" x14ac:dyDescent="0.2">
      <c r="D39" s="5" t="s">
        <v>897</v>
      </c>
    </row>
    <row r="40" spans="2:4" x14ac:dyDescent="0.2">
      <c r="D40" s="5" t="s">
        <v>1637</v>
      </c>
    </row>
    <row r="41" spans="2:4" x14ac:dyDescent="0.2">
      <c r="D41" s="5" t="s">
        <v>1632</v>
      </c>
    </row>
    <row r="42" spans="2:4" x14ac:dyDescent="0.2">
      <c r="D42" s="5" t="s">
        <v>1633</v>
      </c>
    </row>
    <row r="43" spans="2:4" x14ac:dyDescent="0.2">
      <c r="B43" s="5" t="s">
        <v>1638</v>
      </c>
    </row>
    <row r="44" spans="2:4" x14ac:dyDescent="0.2">
      <c r="D44" s="5" t="s">
        <v>703</v>
      </c>
    </row>
    <row r="45" spans="2:4" x14ac:dyDescent="0.2">
      <c r="D45" s="5" t="s">
        <v>704</v>
      </c>
    </row>
    <row r="46" spans="2:4" x14ac:dyDescent="0.2">
      <c r="D46" s="5" t="s">
        <v>705</v>
      </c>
    </row>
    <row r="47" spans="2:4" x14ac:dyDescent="0.2">
      <c r="D47" s="5" t="s">
        <v>711</v>
      </c>
    </row>
    <row r="48" spans="2:4" x14ac:dyDescent="0.2">
      <c r="D48" s="5" t="s">
        <v>712</v>
      </c>
    </row>
  </sheetData>
  <autoFilter ref="A18:H18"/>
  <conditionalFormatting sqref="C17">
    <cfRule type="cellIs" dxfId="19" priority="1" stopIfTrue="1" operator="equal">
      <formula>$B$10</formula>
    </cfRule>
    <cfRule type="cellIs" dxfId="18"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tabColor indexed="11"/>
  </sheetPr>
  <dimension ref="A1:H36"/>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10</v>
      </c>
      <c r="C2" s="15">
        <f>IF(ISERROR(VALUE(TRIM(CLEAN(MID(C20,FIND("(",C20)+1,FIND("/",C20,1)-FIND("(",C20)-1))))),0,VALUE(TRIM(CLEAN(MID(C20,FIND("(",C20)+1,FIND("/",C20,1)-FIND("(",C20)-1)))))</f>
        <v>10</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40</v>
      </c>
      <c r="C4" s="16">
        <f>IF(ISERROR(VALUE(TRIM(CLEAN(MID(C23,FIND("(",C23)+1,FIND("/",C23,1)-FIND("(",C23)-1))))),0,VALUE(TRIM(CLEAN(MID(C23,FIND("(",C23)+1,FIND("/",C23,1)-FIND("(",C23)-1)))))</f>
        <v>40</v>
      </c>
      <c r="E4" s="29" t="s">
        <v>2</v>
      </c>
    </row>
    <row r="5" spans="1:5" ht="22.5" x14ac:dyDescent="0.2">
      <c r="A5" s="20" t="s">
        <v>17</v>
      </c>
      <c r="B5" s="21">
        <f>IF(ISERROR(VALUE(TRIM(CLEAN(MID(C24,FIND("/",C24)+1,FIND(")",C24,1)-FIND("/",C24)-1))))),0,VALUE(TRIM(CLEAN(MID(C24,FIND("/",C24)+1,FIND(")",C24,1)-FIND("/",C24)-1)))))</f>
        <v>16</v>
      </c>
      <c r="C5" s="16">
        <f>IF(ISERROR(VALUE(TRIM(CLEAN(MID(C24,FIND("(",C24)+1,FIND("/",C24,1)-FIND("(",C24)-1))))),0,VALUE(TRIM(CLEAN(MID(C24,FIND("(",C24)+1,FIND("/",C24,1)-FIND("(",C24)-1)))))</f>
        <v>16</v>
      </c>
    </row>
    <row r="6" spans="1:5" x14ac:dyDescent="0.2">
      <c r="A6" s="20"/>
      <c r="B6" s="21"/>
      <c r="C6" s="16"/>
    </row>
    <row r="7" spans="1:5" ht="13.5" thickBot="1" x14ac:dyDescent="0.25">
      <c r="A7" s="22" t="s">
        <v>13</v>
      </c>
      <c r="B7" s="23">
        <f>SUM(B2:B5)</f>
        <v>66</v>
      </c>
      <c r="C7" s="17">
        <f>SUM(C2:C5)</f>
        <v>66</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1640</v>
      </c>
    </row>
    <row r="20" spans="1:8" x14ac:dyDescent="0.2">
      <c r="C20" s="5" t="s">
        <v>1641</v>
      </c>
    </row>
    <row r="21" spans="1:8" x14ac:dyDescent="0.2">
      <c r="C21" s="5" t="s">
        <v>704</v>
      </c>
    </row>
    <row r="22" spans="1:8" x14ac:dyDescent="0.2">
      <c r="C22" s="5" t="s">
        <v>1642</v>
      </c>
    </row>
    <row r="23" spans="1:8" x14ac:dyDescent="0.2">
      <c r="C23" s="5" t="s">
        <v>1643</v>
      </c>
    </row>
    <row r="24" spans="1:8" x14ac:dyDescent="0.2">
      <c r="C24" s="5" t="s">
        <v>1633</v>
      </c>
    </row>
    <row r="25" spans="1:8" x14ac:dyDescent="0.2">
      <c r="B25" s="5" t="s">
        <v>1644</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1645</v>
      </c>
    </row>
    <row r="32" spans="1:8" x14ac:dyDescent="0.2">
      <c r="D32" s="5" t="s">
        <v>1031</v>
      </c>
    </row>
    <row r="33" spans="4:4" x14ac:dyDescent="0.2">
      <c r="D33" s="5" t="s">
        <v>704</v>
      </c>
    </row>
    <row r="34" spans="4:4" x14ac:dyDescent="0.2">
      <c r="D34" s="5" t="s">
        <v>1032</v>
      </c>
    </row>
    <row r="35" spans="4:4" x14ac:dyDescent="0.2">
      <c r="D35" s="5" t="s">
        <v>1643</v>
      </c>
    </row>
    <row r="36" spans="4:4" x14ac:dyDescent="0.2">
      <c r="D36" s="5" t="s">
        <v>1633</v>
      </c>
    </row>
  </sheetData>
  <autoFilter ref="A18:H18"/>
  <conditionalFormatting sqref="C17">
    <cfRule type="cellIs" dxfId="17" priority="1" stopIfTrue="1" operator="equal">
      <formula>$B$10</formula>
    </cfRule>
    <cfRule type="cellIs" dxfId="16"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tabColor indexed="11"/>
  </sheetPr>
  <dimension ref="A1:H30"/>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11</v>
      </c>
      <c r="C2" s="15">
        <f>IF(ISERROR(VALUE(TRIM(CLEAN(MID(C20,FIND("(",C20)+1,FIND("/",C20,1)-FIND("(",C20)-1))))),0,VALUE(TRIM(CLEAN(MID(C20,FIND("(",C20)+1,FIND("/",C20,1)-FIND("(",C20)-1)))))</f>
        <v>11</v>
      </c>
    </row>
    <row r="3" spans="1:5" ht="22.5" x14ac:dyDescent="0.2">
      <c r="A3" s="20" t="s">
        <v>15</v>
      </c>
      <c r="B3" s="21">
        <f>IF(ISERROR(VALUE(TRIM(CLEAN(MID(C21,FIND("/",C21)+1,FIND(")",C21,1)-FIND("/",C21)-1))))),0,VALUE(TRIM(CLEAN(MID(C21,FIND("/",C21)+1,FIND(")",C21,1)-FIND("/",C21)-1)))))</f>
        <v>2</v>
      </c>
      <c r="C3" s="16">
        <f>IF(ISERROR(VALUE(TRIM(CLEAN(MID(C21,FIND("(",C21)+1,FIND("/",C21,1)-FIND("(",C21)-1))))),0,VALUE(TRIM(CLEAN(MID(C21,FIND("(",C21)+1,FIND("/",C21,1)-FIND("(",C21)-1)))))</f>
        <v>2</v>
      </c>
      <c r="E3" s="29" t="s">
        <v>1</v>
      </c>
    </row>
    <row r="4" spans="1:5" ht="22.5" x14ac:dyDescent="0.2">
      <c r="A4" s="20" t="s">
        <v>16</v>
      </c>
      <c r="B4" s="21">
        <f>IF(ISERROR(VALUE(TRIM(CLEAN(MID(C23,FIND("/",C23)+1,FIND(")",C23,1)-FIND("/",C23)-1))))),0,VALUE(TRIM(CLEAN(MID(C23,FIND("/",C23)+1,FIND(")",C23,1)-FIND("/",C23)-1)))))</f>
        <v>16</v>
      </c>
      <c r="C4" s="16">
        <f>IF(ISERROR(VALUE(TRIM(CLEAN(MID(C23,FIND("(",C23)+1,FIND("/",C23,1)-FIND("(",C23)-1))))),0,VALUE(TRIM(CLEAN(MID(C23,FIND("(",C23)+1,FIND("/",C23,1)-FIND("(",C23)-1)))))</f>
        <v>16</v>
      </c>
      <c r="E4" s="29" t="s">
        <v>2</v>
      </c>
    </row>
    <row r="5" spans="1:5" ht="22.5" x14ac:dyDescent="0.2">
      <c r="A5" s="20" t="s">
        <v>17</v>
      </c>
      <c r="B5" s="21">
        <f>IF(ISERROR(VALUE(TRIM(CLEAN(MID(C24,FIND("/",C24)+1,FIND(")",C24,1)-FIND("/",C24)-1))))),0,VALUE(TRIM(CLEAN(MID(C24,FIND("/",C24)+1,FIND(")",C24,1)-FIND("/",C24)-1)))))</f>
        <v>4</v>
      </c>
      <c r="C5" s="16">
        <f>IF(ISERROR(VALUE(TRIM(CLEAN(MID(C24,FIND("(",C24)+1,FIND("/",C24,1)-FIND("(",C24)-1))))),0,VALUE(TRIM(CLEAN(MID(C24,FIND("(",C24)+1,FIND("/",C24,1)-FIND("(",C24)-1)))))</f>
        <v>4</v>
      </c>
    </row>
    <row r="6" spans="1:5" x14ac:dyDescent="0.2">
      <c r="A6" s="20"/>
      <c r="B6" s="21"/>
      <c r="C6" s="16"/>
    </row>
    <row r="7" spans="1:5" ht="13.5" thickBot="1" x14ac:dyDescent="0.25">
      <c r="A7" s="22" t="s">
        <v>13</v>
      </c>
      <c r="B7" s="23">
        <f>SUM(B2:B5)</f>
        <v>33</v>
      </c>
      <c r="C7" s="17">
        <f>SUM(C2:C5)</f>
        <v>33</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1647</v>
      </c>
    </row>
    <row r="20" spans="1:8" x14ac:dyDescent="0.2">
      <c r="C20" s="5" t="s">
        <v>838</v>
      </c>
    </row>
    <row r="21" spans="1:8" x14ac:dyDescent="0.2">
      <c r="C21" s="5" t="s">
        <v>834</v>
      </c>
    </row>
    <row r="22" spans="1:8" x14ac:dyDescent="0.2">
      <c r="C22" s="5" t="s">
        <v>839</v>
      </c>
    </row>
    <row r="23" spans="1:8" x14ac:dyDescent="0.2">
      <c r="C23" s="5" t="s">
        <v>1006</v>
      </c>
    </row>
    <row r="24" spans="1:8" x14ac:dyDescent="0.2">
      <c r="C24" s="5" t="s">
        <v>744</v>
      </c>
    </row>
    <row r="25" spans="1:8" x14ac:dyDescent="0.2">
      <c r="B25" s="5" t="s">
        <v>1648</v>
      </c>
    </row>
    <row r="26" spans="1:8" x14ac:dyDescent="0.2">
      <c r="D26" s="5" t="s">
        <v>838</v>
      </c>
    </row>
    <row r="27" spans="1:8" x14ac:dyDescent="0.2">
      <c r="D27" s="5" t="s">
        <v>834</v>
      </c>
    </row>
    <row r="28" spans="1:8" x14ac:dyDescent="0.2">
      <c r="D28" s="5" t="s">
        <v>839</v>
      </c>
    </row>
    <row r="29" spans="1:8" x14ac:dyDescent="0.2">
      <c r="D29" s="5" t="s">
        <v>1006</v>
      </c>
    </row>
    <row r="30" spans="1:8" x14ac:dyDescent="0.2">
      <c r="D30" s="5" t="s">
        <v>744</v>
      </c>
    </row>
  </sheetData>
  <autoFilter ref="A18:H18"/>
  <conditionalFormatting sqref="C17">
    <cfRule type="cellIs" dxfId="15" priority="1" stopIfTrue="1" operator="equal">
      <formula>$B$10</formula>
    </cfRule>
    <cfRule type="cellIs" dxfId="14"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tabColor indexed="11"/>
  </sheetPr>
  <dimension ref="A1:H48"/>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8</v>
      </c>
      <c r="C2" s="15">
        <f>IF(ISERROR(VALUE(TRIM(CLEAN(MID(C20,FIND("(",C20)+1,FIND("/",C20,1)-FIND("(",C20)-1))))),0,VALUE(TRIM(CLEAN(MID(C20,FIND("(",C20)+1,FIND("/",C20,1)-FIND("(",C20)-1)))))</f>
        <v>8</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4</v>
      </c>
      <c r="C4" s="16">
        <f>IF(ISERROR(VALUE(TRIM(CLEAN(MID(C23,FIND("(",C23)+1,FIND("/",C23,1)-FIND("(",C23)-1))))),0,VALUE(TRIM(CLEAN(MID(C23,FIND("(",C23)+1,FIND("/",C23,1)-FIND("(",C23)-1)))))</f>
        <v>4</v>
      </c>
      <c r="E4" s="29" t="s">
        <v>2</v>
      </c>
    </row>
    <row r="5" spans="1:5" ht="22.5" x14ac:dyDescent="0.2">
      <c r="A5" s="20" t="s">
        <v>17</v>
      </c>
      <c r="B5" s="21">
        <f>IF(ISERROR(VALUE(TRIM(CLEAN(MID(C24,FIND("/",C24)+1,FIND(")",C24,1)-FIND("/",C24)-1))))),0,VALUE(TRIM(CLEAN(MID(C24,FIND("/",C24)+1,FIND(")",C24,1)-FIND("/",C24)-1)))))</f>
        <v>0</v>
      </c>
      <c r="C5" s="16">
        <f>IF(ISERROR(VALUE(TRIM(CLEAN(MID(C24,FIND("(",C24)+1,FIND("/",C24,1)-FIND("(",C24)-1))))),0,VALUE(TRIM(CLEAN(MID(C24,FIND("(",C24)+1,FIND("/",C24,1)-FIND("(",C24)-1)))))</f>
        <v>0</v>
      </c>
    </row>
    <row r="6" spans="1:5" x14ac:dyDescent="0.2">
      <c r="A6" s="20"/>
      <c r="B6" s="21"/>
      <c r="C6" s="16"/>
    </row>
    <row r="7" spans="1:5" ht="13.5" thickBot="1" x14ac:dyDescent="0.25">
      <c r="A7" s="22" t="s">
        <v>13</v>
      </c>
      <c r="B7" s="23">
        <f>SUM(B2:B5)</f>
        <v>12</v>
      </c>
      <c r="C7" s="17">
        <f>SUM(C2:C5)</f>
        <v>12</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1650</v>
      </c>
    </row>
    <row r="20" spans="1:8" x14ac:dyDescent="0.2">
      <c r="C20" s="5" t="s">
        <v>1263</v>
      </c>
    </row>
    <row r="21" spans="1:8" x14ac:dyDescent="0.2">
      <c r="C21" s="5" t="s">
        <v>704</v>
      </c>
    </row>
    <row r="22" spans="1:8" x14ac:dyDescent="0.2">
      <c r="C22" s="5" t="s">
        <v>1264</v>
      </c>
    </row>
    <row r="23" spans="1:8" x14ac:dyDescent="0.2">
      <c r="C23" s="5" t="s">
        <v>706</v>
      </c>
    </row>
    <row r="24" spans="1:8" x14ac:dyDescent="0.2">
      <c r="C24" s="5" t="s">
        <v>712</v>
      </c>
    </row>
    <row r="25" spans="1:8" x14ac:dyDescent="0.2">
      <c r="B25" s="5" t="s">
        <v>1651</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1652</v>
      </c>
    </row>
    <row r="32" spans="1:8" x14ac:dyDescent="0.2">
      <c r="D32" s="5" t="s">
        <v>703</v>
      </c>
    </row>
    <row r="33" spans="2:4" x14ac:dyDescent="0.2">
      <c r="D33" s="5" t="s">
        <v>704</v>
      </c>
    </row>
    <row r="34" spans="2:4" x14ac:dyDescent="0.2">
      <c r="D34" s="5" t="s">
        <v>705</v>
      </c>
    </row>
    <row r="35" spans="2:4" x14ac:dyDescent="0.2">
      <c r="D35" s="5" t="s">
        <v>711</v>
      </c>
    </row>
    <row r="36" spans="2:4" x14ac:dyDescent="0.2">
      <c r="D36" s="5" t="s">
        <v>712</v>
      </c>
    </row>
    <row r="37" spans="2:4" x14ac:dyDescent="0.2">
      <c r="B37" s="5" t="s">
        <v>1653</v>
      </c>
    </row>
    <row r="38" spans="2:4" x14ac:dyDescent="0.2">
      <c r="D38" s="5" t="s">
        <v>703</v>
      </c>
    </row>
    <row r="39" spans="2:4" x14ac:dyDescent="0.2">
      <c r="D39" s="5" t="s">
        <v>704</v>
      </c>
    </row>
    <row r="40" spans="2:4" x14ac:dyDescent="0.2">
      <c r="D40" s="5" t="s">
        <v>705</v>
      </c>
    </row>
    <row r="41" spans="2:4" x14ac:dyDescent="0.2">
      <c r="D41" s="5" t="s">
        <v>711</v>
      </c>
    </row>
    <row r="42" spans="2:4" x14ac:dyDescent="0.2">
      <c r="D42" s="5" t="s">
        <v>712</v>
      </c>
    </row>
    <row r="43" spans="2:4" x14ac:dyDescent="0.2">
      <c r="B43" s="5" t="s">
        <v>1654</v>
      </c>
    </row>
    <row r="44" spans="2:4" x14ac:dyDescent="0.2">
      <c r="D44" s="5" t="s">
        <v>864</v>
      </c>
    </row>
    <row r="45" spans="2:4" x14ac:dyDescent="0.2">
      <c r="D45" s="5" t="s">
        <v>704</v>
      </c>
    </row>
    <row r="46" spans="2:4" x14ac:dyDescent="0.2">
      <c r="D46" s="5" t="s">
        <v>865</v>
      </c>
    </row>
    <row r="47" spans="2:4" x14ac:dyDescent="0.2">
      <c r="D47" s="5" t="s">
        <v>706</v>
      </c>
    </row>
    <row r="48" spans="2:4" x14ac:dyDescent="0.2">
      <c r="D48" s="5" t="s">
        <v>712</v>
      </c>
    </row>
  </sheetData>
  <autoFilter ref="A18:H18"/>
  <conditionalFormatting sqref="C17">
    <cfRule type="cellIs" dxfId="13" priority="1" stopIfTrue="1" operator="equal">
      <formula>$B$10</formula>
    </cfRule>
    <cfRule type="cellIs" dxfId="12"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tabColor indexed="11"/>
  </sheetPr>
  <dimension ref="A1:H60"/>
  <sheetViews>
    <sheetView workbookViewId="0">
      <selection activeCell="E4" sqref="E4"/>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75</v>
      </c>
      <c r="C2" s="15">
        <f>IF(ISERROR(VALUE(TRIM(CLEAN(MID(C20,FIND("(",C20)+1,FIND("/",C20,1)-FIND("(",C20)-1))))),0,VALUE(TRIM(CLEAN(MID(C20,FIND("(",C20)+1,FIND("/",C20,1)-FIND("(",C20)-1)))))</f>
        <v>69</v>
      </c>
    </row>
    <row r="3" spans="1:5" ht="22.5" x14ac:dyDescent="0.2">
      <c r="A3" s="20" t="s">
        <v>15</v>
      </c>
      <c r="B3" s="21">
        <f>IF(ISERROR(VALUE(TRIM(CLEAN(MID(C21,FIND("/",C21)+1,FIND(")",C21,1)-FIND("/",C21)-1))))),0,VALUE(TRIM(CLEAN(MID(C21,FIND("/",C21)+1,FIND(")",C21,1)-FIND("/",C21)-1)))))</f>
        <v>9</v>
      </c>
      <c r="C3" s="16">
        <f>IF(ISERROR(VALUE(TRIM(CLEAN(MID(C21,FIND("(",C21)+1,FIND("/",C21,1)-FIND("(",C21)-1))))),0,VALUE(TRIM(CLEAN(MID(C21,FIND("(",C21)+1,FIND("/",C21,1)-FIND("(",C21)-1)))))</f>
        <v>9</v>
      </c>
      <c r="E3" s="29" t="s">
        <v>1</v>
      </c>
    </row>
    <row r="4" spans="1:5" ht="22.5" x14ac:dyDescent="0.2">
      <c r="A4" s="20" t="s">
        <v>16</v>
      </c>
      <c r="B4" s="21">
        <f>IF(ISERROR(VALUE(TRIM(CLEAN(MID(C23,FIND("/",C23)+1,FIND(")",C23,1)-FIND("/",C23)-1))))),0,VALUE(TRIM(CLEAN(MID(C23,FIND("/",C23)+1,FIND(")",C23,1)-FIND("/",C23)-1)))))</f>
        <v>332</v>
      </c>
      <c r="C4" s="16">
        <f>IF(ISERROR(VALUE(TRIM(CLEAN(MID(C23,FIND("(",C23)+1,FIND("/",C23,1)-FIND("(",C23)-1))))),0,VALUE(TRIM(CLEAN(MID(C23,FIND("(",C23)+1,FIND("/",C23,1)-FIND("(",C23)-1)))))</f>
        <v>326</v>
      </c>
      <c r="E4" s="29" t="s">
        <v>2</v>
      </c>
    </row>
    <row r="5" spans="1:5" ht="22.5" x14ac:dyDescent="0.2">
      <c r="A5" s="20" t="s">
        <v>17</v>
      </c>
      <c r="B5" s="21">
        <f>IF(ISERROR(VALUE(TRIM(CLEAN(MID(C24,FIND("/",C24)+1,FIND(")",C24,1)-FIND("/",C24)-1))))),0,VALUE(TRIM(CLEAN(MID(C24,FIND("/",C24)+1,FIND(")",C24,1)-FIND("/",C24)-1)))))</f>
        <v>126</v>
      </c>
      <c r="C5" s="16">
        <f>IF(ISERROR(VALUE(TRIM(CLEAN(MID(C24,FIND("(",C24)+1,FIND("/",C24,1)-FIND("(",C24)-1))))),0,VALUE(TRIM(CLEAN(MID(C24,FIND("(",C24)+1,FIND("/",C24,1)-FIND("(",C24)-1)))))</f>
        <v>126</v>
      </c>
    </row>
    <row r="6" spans="1:5" x14ac:dyDescent="0.2">
      <c r="A6" s="20"/>
      <c r="B6" s="21"/>
      <c r="C6" s="16"/>
    </row>
    <row r="7" spans="1:5" ht="13.5" thickBot="1" x14ac:dyDescent="0.25">
      <c r="A7" s="22" t="s">
        <v>13</v>
      </c>
      <c r="B7" s="23">
        <f>SUM(B2:B5)</f>
        <v>542</v>
      </c>
      <c r="C7" s="17">
        <f>SUM(C2:C5)</f>
        <v>530</v>
      </c>
    </row>
    <row r="8" spans="1:5" x14ac:dyDescent="0.2">
      <c r="A8" s="12"/>
      <c r="B8" s="7"/>
      <c r="C8" s="7"/>
    </row>
    <row r="9" spans="1:5" ht="13.5" thickBot="1" x14ac:dyDescent="0.25">
      <c r="A9" s="10"/>
      <c r="B9" s="7"/>
      <c r="C9" s="7"/>
    </row>
    <row r="10" spans="1:5" ht="24" thickTop="1" thickBot="1" x14ac:dyDescent="0.25">
      <c r="A10" s="24" t="s">
        <v>18</v>
      </c>
      <c r="B10" s="26">
        <f>B7-C7</f>
        <v>12</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12</v>
      </c>
    </row>
    <row r="16" spans="1:5" ht="23.25" thickBot="1" x14ac:dyDescent="0.25">
      <c r="A16" s="25" t="s">
        <v>20</v>
      </c>
      <c r="B16" s="28"/>
      <c r="C16" s="28">
        <f t="shared" si="0"/>
        <v>0</v>
      </c>
    </row>
    <row r="17" spans="1:8" x14ac:dyDescent="0.2">
      <c r="C17" s="5">
        <f>SUM(C11:C16)</f>
        <v>12</v>
      </c>
    </row>
    <row r="18" spans="1:8" customFormat="1" ht="23.25" x14ac:dyDescent="0.25">
      <c r="A18" s="4" t="s">
        <v>3</v>
      </c>
      <c r="B18" s="6" t="s">
        <v>4</v>
      </c>
      <c r="C18" s="8" t="s">
        <v>6</v>
      </c>
      <c r="D18" s="8" t="s">
        <v>7</v>
      </c>
      <c r="E18" s="8" t="s">
        <v>5</v>
      </c>
      <c r="F18" s="3" t="s">
        <v>10</v>
      </c>
      <c r="G18" s="1" t="s">
        <v>9</v>
      </c>
      <c r="H18" s="2" t="s">
        <v>8</v>
      </c>
    </row>
    <row r="19" spans="1:8" x14ac:dyDescent="0.2">
      <c r="A19" s="5" t="s">
        <v>1656</v>
      </c>
    </row>
    <row r="20" spans="1:8" x14ac:dyDescent="0.2">
      <c r="C20" s="5" t="s">
        <v>1657</v>
      </c>
    </row>
    <row r="21" spans="1:8" x14ac:dyDescent="0.2">
      <c r="C21" s="5" t="s">
        <v>1276</v>
      </c>
    </row>
    <row r="22" spans="1:8" x14ac:dyDescent="0.2">
      <c r="C22" s="5" t="s">
        <v>1658</v>
      </c>
    </row>
    <row r="23" spans="1:8" x14ac:dyDescent="0.2">
      <c r="C23" s="5" t="s">
        <v>1659</v>
      </c>
    </row>
    <row r="24" spans="1:8" x14ac:dyDescent="0.2">
      <c r="C24" s="5" t="s">
        <v>1660</v>
      </c>
    </row>
    <row r="25" spans="1:8" x14ac:dyDescent="0.2">
      <c r="B25" s="5" t="s">
        <v>1661</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1662</v>
      </c>
    </row>
    <row r="32" spans="1:8" x14ac:dyDescent="0.2">
      <c r="D32" s="5" t="s">
        <v>703</v>
      </c>
    </row>
    <row r="33" spans="2:8" x14ac:dyDescent="0.2">
      <c r="D33" s="5" t="s">
        <v>704</v>
      </c>
    </row>
    <row r="34" spans="2:8" x14ac:dyDescent="0.2">
      <c r="D34" s="5" t="s">
        <v>705</v>
      </c>
    </row>
    <row r="35" spans="2:8" x14ac:dyDescent="0.2">
      <c r="D35" s="5" t="s">
        <v>711</v>
      </c>
    </row>
    <row r="36" spans="2:8" x14ac:dyDescent="0.2">
      <c r="D36" s="5" t="s">
        <v>712</v>
      </c>
    </row>
    <row r="37" spans="2:8" x14ac:dyDescent="0.2">
      <c r="B37" s="5" t="s">
        <v>1663</v>
      </c>
    </row>
    <row r="38" spans="2:8" x14ac:dyDescent="0.2">
      <c r="D38" s="5" t="s">
        <v>703</v>
      </c>
    </row>
    <row r="39" spans="2:8" x14ac:dyDescent="0.2">
      <c r="D39" s="5" t="s">
        <v>704</v>
      </c>
    </row>
    <row r="40" spans="2:8" x14ac:dyDescent="0.2">
      <c r="D40" s="5" t="s">
        <v>705</v>
      </c>
    </row>
    <row r="41" spans="2:8" x14ac:dyDescent="0.2">
      <c r="D41" s="5" t="s">
        <v>711</v>
      </c>
    </row>
    <row r="42" spans="2:8" x14ac:dyDescent="0.2">
      <c r="D42" s="5" t="s">
        <v>712</v>
      </c>
    </row>
    <row r="43" spans="2:8" x14ac:dyDescent="0.2">
      <c r="B43" s="5" t="s">
        <v>1664</v>
      </c>
    </row>
    <row r="44" spans="2:8" x14ac:dyDescent="0.2">
      <c r="D44" s="5" t="s">
        <v>1665</v>
      </c>
    </row>
    <row r="45" spans="2:8" x14ac:dyDescent="0.2">
      <c r="E45" s="5" t="s">
        <v>1666</v>
      </c>
      <c r="F45" s="5">
        <v>933</v>
      </c>
      <c r="G45" s="5" t="s">
        <v>19</v>
      </c>
      <c r="H45" s="5" t="s">
        <v>1925</v>
      </c>
    </row>
    <row r="46" spans="2:8" x14ac:dyDescent="0.2">
      <c r="E46" s="5" t="s">
        <v>1667</v>
      </c>
      <c r="F46" s="5">
        <v>1011</v>
      </c>
      <c r="G46" s="5" t="s">
        <v>19</v>
      </c>
      <c r="H46" s="5" t="s">
        <v>1925</v>
      </c>
    </row>
    <row r="47" spans="2:8" x14ac:dyDescent="0.2">
      <c r="E47" s="5" t="s">
        <v>1668</v>
      </c>
      <c r="F47" s="5">
        <v>1090</v>
      </c>
      <c r="G47" s="5" t="s">
        <v>19</v>
      </c>
      <c r="H47" s="5" t="s">
        <v>1925</v>
      </c>
    </row>
    <row r="48" spans="2:8" x14ac:dyDescent="0.2">
      <c r="E48" s="5" t="s">
        <v>1669</v>
      </c>
      <c r="F48" s="5">
        <v>1169</v>
      </c>
      <c r="G48" s="5" t="s">
        <v>19</v>
      </c>
      <c r="H48" s="5" t="s">
        <v>1925</v>
      </c>
    </row>
    <row r="49" spans="4:8" x14ac:dyDescent="0.2">
      <c r="E49" s="5" t="s">
        <v>1670</v>
      </c>
      <c r="F49" s="5">
        <v>1259</v>
      </c>
      <c r="G49" s="5" t="s">
        <v>19</v>
      </c>
      <c r="H49" s="5" t="s">
        <v>1925</v>
      </c>
    </row>
    <row r="50" spans="4:8" x14ac:dyDescent="0.2">
      <c r="E50" s="5" t="s">
        <v>1671</v>
      </c>
      <c r="F50" s="5">
        <v>1444</v>
      </c>
      <c r="G50" s="5" t="s">
        <v>19</v>
      </c>
      <c r="H50" s="5" t="s">
        <v>1925</v>
      </c>
    </row>
    <row r="51" spans="4:8" x14ac:dyDescent="0.2">
      <c r="D51" s="5" t="s">
        <v>1276</v>
      </c>
    </row>
    <row r="52" spans="4:8" x14ac:dyDescent="0.2">
      <c r="D52" s="5" t="s">
        <v>1672</v>
      </c>
    </row>
    <row r="53" spans="4:8" x14ac:dyDescent="0.2">
      <c r="D53" s="5" t="s">
        <v>1659</v>
      </c>
    </row>
    <row r="54" spans="4:8" x14ac:dyDescent="0.2">
      <c r="E54" s="5" t="s">
        <v>1673</v>
      </c>
      <c r="F54" s="5">
        <v>933</v>
      </c>
      <c r="G54" s="5" t="s">
        <v>19</v>
      </c>
      <c r="H54" s="5" t="s">
        <v>1925</v>
      </c>
    </row>
    <row r="55" spans="4:8" x14ac:dyDescent="0.2">
      <c r="E55" s="5" t="s">
        <v>1674</v>
      </c>
      <c r="F55" s="5">
        <v>1011</v>
      </c>
      <c r="G55" s="5" t="s">
        <v>19</v>
      </c>
      <c r="H55" s="5" t="s">
        <v>1925</v>
      </c>
    </row>
    <row r="56" spans="4:8" x14ac:dyDescent="0.2">
      <c r="E56" s="5" t="s">
        <v>1675</v>
      </c>
      <c r="F56" s="5">
        <v>1090</v>
      </c>
      <c r="G56" s="5" t="s">
        <v>19</v>
      </c>
      <c r="H56" s="5" t="s">
        <v>1925</v>
      </c>
    </row>
    <row r="57" spans="4:8" x14ac:dyDescent="0.2">
      <c r="E57" s="5" t="s">
        <v>1676</v>
      </c>
      <c r="F57" s="5">
        <v>1169</v>
      </c>
      <c r="G57" s="5" t="s">
        <v>19</v>
      </c>
      <c r="H57" s="5" t="s">
        <v>1925</v>
      </c>
    </row>
    <row r="58" spans="4:8" x14ac:dyDescent="0.2">
      <c r="E58" s="5" t="s">
        <v>1677</v>
      </c>
      <c r="F58" s="5">
        <v>1259</v>
      </c>
      <c r="G58" s="5" t="s">
        <v>19</v>
      </c>
      <c r="H58" s="5" t="s">
        <v>1925</v>
      </c>
    </row>
    <row r="59" spans="4:8" x14ac:dyDescent="0.2">
      <c r="E59" s="5" t="s">
        <v>1678</v>
      </c>
      <c r="F59" s="5">
        <v>1444</v>
      </c>
      <c r="G59" s="5" t="s">
        <v>19</v>
      </c>
      <c r="H59" s="5" t="s">
        <v>1925</v>
      </c>
    </row>
    <row r="60" spans="4:8" x14ac:dyDescent="0.2">
      <c r="D60" s="5" t="s">
        <v>1660</v>
      </c>
    </row>
  </sheetData>
  <autoFilter ref="A18:H18"/>
  <conditionalFormatting sqref="C17">
    <cfRule type="cellIs" dxfId="11" priority="1" stopIfTrue="1" operator="equal">
      <formula>$B$10</formula>
    </cfRule>
    <cfRule type="cellIs" dxfId="10"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tabColor indexed="11"/>
  </sheetPr>
  <dimension ref="A1:H50"/>
  <sheetViews>
    <sheetView workbookViewId="0">
      <selection activeCell="F45" sqref="F45:H49"/>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45</v>
      </c>
      <c r="C2" s="15">
        <f>IF(ISERROR(VALUE(TRIM(CLEAN(MID(C20,FIND("(",C20)+1,FIND("/",C20,1)-FIND("(",C20)-1))))),0,VALUE(TRIM(CLEAN(MID(C20,FIND("(",C20)+1,FIND("/",C20,1)-FIND("(",C20)-1)))))</f>
        <v>44</v>
      </c>
    </row>
    <row r="3" spans="1:5" ht="22.5" x14ac:dyDescent="0.2">
      <c r="A3" s="20" t="s">
        <v>15</v>
      </c>
      <c r="B3" s="21">
        <f>IF(ISERROR(VALUE(TRIM(CLEAN(MID(C21,FIND("/",C21)+1,FIND(")",C21,1)-FIND("/",C21)-1))))),0,VALUE(TRIM(CLEAN(MID(C21,FIND("/",C21)+1,FIND(")",C21,1)-FIND("/",C21)-1)))))</f>
        <v>8</v>
      </c>
      <c r="C3" s="16">
        <f>IF(ISERROR(VALUE(TRIM(CLEAN(MID(C21,FIND("(",C21)+1,FIND("/",C21,1)-FIND("(",C21)-1))))),0,VALUE(TRIM(CLEAN(MID(C21,FIND("(",C21)+1,FIND("/",C21,1)-FIND("(",C21)-1)))))</f>
        <v>8</v>
      </c>
      <c r="E3" s="29" t="s">
        <v>1</v>
      </c>
    </row>
    <row r="4" spans="1:5" ht="22.5" x14ac:dyDescent="0.2">
      <c r="A4" s="20" t="s">
        <v>16</v>
      </c>
      <c r="B4" s="21">
        <f>IF(ISERROR(VALUE(TRIM(CLEAN(MID(C23,FIND("/",C23)+1,FIND(")",C23,1)-FIND("/",C23)-1))))),0,VALUE(TRIM(CLEAN(MID(C23,FIND("/",C23)+1,FIND(")",C23,1)-FIND("/",C23)-1)))))</f>
        <v>63</v>
      </c>
      <c r="C4" s="16">
        <f>IF(ISERROR(VALUE(TRIM(CLEAN(MID(C23,FIND("(",C23)+1,FIND("/",C23,1)-FIND("(",C23)-1))))),0,VALUE(TRIM(CLEAN(MID(C23,FIND("(",C23)+1,FIND("/",C23,1)-FIND("(",C23)-1)))))</f>
        <v>62</v>
      </c>
      <c r="E4" s="29" t="s">
        <v>2</v>
      </c>
    </row>
    <row r="5" spans="1:5" ht="22.5" x14ac:dyDescent="0.2">
      <c r="A5" s="20" t="s">
        <v>17</v>
      </c>
      <c r="B5" s="21">
        <f>IF(ISERROR(VALUE(TRIM(CLEAN(MID(C24,FIND("/",C24)+1,FIND(")",C24,1)-FIND("/",C24)-1))))),0,VALUE(TRIM(CLEAN(MID(C24,FIND("/",C24)+1,FIND(")",C24,1)-FIND("/",C24)-1)))))</f>
        <v>9</v>
      </c>
      <c r="C5" s="16">
        <f>IF(ISERROR(VALUE(TRIM(CLEAN(MID(C24,FIND("(",C24)+1,FIND("/",C24,1)-FIND("(",C24)-1))))),0,VALUE(TRIM(CLEAN(MID(C24,FIND("(",C24)+1,FIND("/",C24,1)-FIND("(",C24)-1)))))</f>
        <v>9</v>
      </c>
    </row>
    <row r="6" spans="1:5" x14ac:dyDescent="0.2">
      <c r="A6" s="20"/>
      <c r="B6" s="21"/>
      <c r="C6" s="16"/>
    </row>
    <row r="7" spans="1:5" ht="13.5" thickBot="1" x14ac:dyDescent="0.25">
      <c r="A7" s="22" t="s">
        <v>13</v>
      </c>
      <c r="B7" s="23">
        <f>SUM(B2:B5)</f>
        <v>125</v>
      </c>
      <c r="C7" s="17">
        <f>SUM(C2:C5)</f>
        <v>123</v>
      </c>
    </row>
    <row r="8" spans="1:5" x14ac:dyDescent="0.2">
      <c r="A8" s="12"/>
      <c r="B8" s="7"/>
      <c r="C8" s="7"/>
    </row>
    <row r="9" spans="1:5" ht="13.5" thickBot="1" x14ac:dyDescent="0.25">
      <c r="A9" s="10"/>
      <c r="B9" s="7"/>
      <c r="C9" s="7"/>
    </row>
    <row r="10" spans="1:5" ht="24" thickTop="1" thickBot="1" x14ac:dyDescent="0.25">
      <c r="A10" s="24" t="s">
        <v>18</v>
      </c>
      <c r="B10" s="26">
        <f>B7-C7</f>
        <v>2</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2</v>
      </c>
    </row>
    <row r="16" spans="1:5" ht="23.25" thickBot="1" x14ac:dyDescent="0.25">
      <c r="A16" s="25" t="s">
        <v>20</v>
      </c>
      <c r="B16" s="28"/>
      <c r="C16" s="28">
        <f t="shared" si="0"/>
        <v>0</v>
      </c>
    </row>
    <row r="17" spans="1:8" x14ac:dyDescent="0.2">
      <c r="C17" s="5">
        <f>SUM(C11:C16)</f>
        <v>2</v>
      </c>
    </row>
    <row r="18" spans="1:8" customFormat="1" ht="23.25" x14ac:dyDescent="0.25">
      <c r="A18" s="4" t="s">
        <v>3</v>
      </c>
      <c r="B18" s="6" t="s">
        <v>4</v>
      </c>
      <c r="C18" s="8" t="s">
        <v>6</v>
      </c>
      <c r="D18" s="8" t="s">
        <v>7</v>
      </c>
      <c r="E18" s="8" t="s">
        <v>5</v>
      </c>
      <c r="F18" s="3" t="s">
        <v>10</v>
      </c>
      <c r="G18" s="1" t="s">
        <v>9</v>
      </c>
      <c r="H18" s="2" t="s">
        <v>8</v>
      </c>
    </row>
    <row r="19" spans="1:8" x14ac:dyDescent="0.2">
      <c r="A19" s="5" t="s">
        <v>1680</v>
      </c>
    </row>
    <row r="20" spans="1:8" x14ac:dyDescent="0.2">
      <c r="C20" s="5" t="s">
        <v>1595</v>
      </c>
    </row>
    <row r="21" spans="1:8" x14ac:dyDescent="0.2">
      <c r="C21" s="5" t="s">
        <v>1448</v>
      </c>
    </row>
    <row r="22" spans="1:8" x14ac:dyDescent="0.2">
      <c r="C22" s="5" t="s">
        <v>1681</v>
      </c>
    </row>
    <row r="23" spans="1:8" x14ac:dyDescent="0.2">
      <c r="C23" s="5" t="s">
        <v>1682</v>
      </c>
    </row>
    <row r="24" spans="1:8" x14ac:dyDescent="0.2">
      <c r="C24" s="5" t="s">
        <v>782</v>
      </c>
    </row>
    <row r="25" spans="1:8" x14ac:dyDescent="0.2">
      <c r="B25" s="5" t="s">
        <v>1683</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1684</v>
      </c>
    </row>
    <row r="32" spans="1:8" x14ac:dyDescent="0.2">
      <c r="D32" s="5" t="s">
        <v>703</v>
      </c>
    </row>
    <row r="33" spans="2:8" x14ac:dyDescent="0.2">
      <c r="D33" s="5" t="s">
        <v>704</v>
      </c>
    </row>
    <row r="34" spans="2:8" x14ac:dyDescent="0.2">
      <c r="D34" s="5" t="s">
        <v>705</v>
      </c>
    </row>
    <row r="35" spans="2:8" x14ac:dyDescent="0.2">
      <c r="D35" s="5" t="s">
        <v>711</v>
      </c>
    </row>
    <row r="36" spans="2:8" x14ac:dyDescent="0.2">
      <c r="D36" s="5" t="s">
        <v>712</v>
      </c>
    </row>
    <row r="37" spans="2:8" x14ac:dyDescent="0.2">
      <c r="B37" s="5" t="s">
        <v>1685</v>
      </c>
    </row>
    <row r="38" spans="2:8" x14ac:dyDescent="0.2">
      <c r="D38" s="5" t="s">
        <v>703</v>
      </c>
    </row>
    <row r="39" spans="2:8" x14ac:dyDescent="0.2">
      <c r="D39" s="5" t="s">
        <v>704</v>
      </c>
    </row>
    <row r="40" spans="2:8" x14ac:dyDescent="0.2">
      <c r="D40" s="5" t="s">
        <v>705</v>
      </c>
    </row>
    <row r="41" spans="2:8" x14ac:dyDescent="0.2">
      <c r="D41" s="5" t="s">
        <v>711</v>
      </c>
    </row>
    <row r="42" spans="2:8" x14ac:dyDescent="0.2">
      <c r="D42" s="5" t="s">
        <v>712</v>
      </c>
    </row>
    <row r="43" spans="2:8" x14ac:dyDescent="0.2">
      <c r="B43" s="5" t="s">
        <v>1686</v>
      </c>
    </row>
    <row r="44" spans="2:8" x14ac:dyDescent="0.2">
      <c r="D44" s="5" t="s">
        <v>1687</v>
      </c>
    </row>
    <row r="45" spans="2:8" x14ac:dyDescent="0.2">
      <c r="E45" s="5" t="s">
        <v>1688</v>
      </c>
      <c r="F45" s="5">
        <v>414</v>
      </c>
      <c r="G45" s="5" t="s">
        <v>19</v>
      </c>
      <c r="H45" s="5" t="s">
        <v>1925</v>
      </c>
    </row>
    <row r="46" spans="2:8" x14ac:dyDescent="0.2">
      <c r="D46" s="5" t="s">
        <v>1448</v>
      </c>
    </row>
    <row r="47" spans="2:8" x14ac:dyDescent="0.2">
      <c r="D47" s="5" t="s">
        <v>1689</v>
      </c>
    </row>
    <row r="48" spans="2:8" x14ac:dyDescent="0.2">
      <c r="D48" s="5" t="s">
        <v>1682</v>
      </c>
    </row>
    <row r="49" spans="4:8" x14ac:dyDescent="0.2">
      <c r="E49" s="5" t="s">
        <v>1690</v>
      </c>
      <c r="F49" s="5">
        <v>414</v>
      </c>
      <c r="G49" s="5" t="s">
        <v>19</v>
      </c>
      <c r="H49" s="5" t="s">
        <v>1925</v>
      </c>
    </row>
    <row r="50" spans="4:8" x14ac:dyDescent="0.2">
      <c r="D50" s="5" t="s">
        <v>782</v>
      </c>
    </row>
  </sheetData>
  <autoFilter ref="A18:H18"/>
  <conditionalFormatting sqref="C17">
    <cfRule type="cellIs" dxfId="9" priority="1" stopIfTrue="1" operator="equal">
      <formula>$B$10</formula>
    </cfRule>
    <cfRule type="cellIs" dxfId="8"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tabColor indexed="11"/>
  </sheetPr>
  <dimension ref="A1:H50"/>
  <sheetViews>
    <sheetView topLeftCell="A4" workbookViewId="0">
      <selection activeCell="F45" sqref="F45:H49"/>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46</v>
      </c>
      <c r="C2" s="15">
        <f>IF(ISERROR(VALUE(TRIM(CLEAN(MID(C20,FIND("(",C20)+1,FIND("/",C20,1)-FIND("(",C20)-1))))),0,VALUE(TRIM(CLEAN(MID(C20,FIND("(",C20)+1,FIND("/",C20,1)-FIND("(",C20)-1)))))</f>
        <v>45</v>
      </c>
    </row>
    <row r="3" spans="1:5" ht="22.5" x14ac:dyDescent="0.2">
      <c r="A3" s="20" t="s">
        <v>15</v>
      </c>
      <c r="B3" s="21">
        <f>IF(ISERROR(VALUE(TRIM(CLEAN(MID(C21,FIND("/",C21)+1,FIND(")",C21,1)-FIND("/",C21)-1))))),0,VALUE(TRIM(CLEAN(MID(C21,FIND("/",C21)+1,FIND(")",C21,1)-FIND("/",C21)-1)))))</f>
        <v>1</v>
      </c>
      <c r="C3" s="16">
        <f>IF(ISERROR(VALUE(TRIM(CLEAN(MID(C21,FIND("(",C21)+1,FIND("/",C21,1)-FIND("(",C21)-1))))),0,VALUE(TRIM(CLEAN(MID(C21,FIND("(",C21)+1,FIND("/",C21,1)-FIND("(",C21)-1)))))</f>
        <v>1</v>
      </c>
      <c r="E3" s="29" t="s">
        <v>1</v>
      </c>
    </row>
    <row r="4" spans="1:5" ht="22.5" x14ac:dyDescent="0.2">
      <c r="A4" s="20" t="s">
        <v>16</v>
      </c>
      <c r="B4" s="21">
        <f>IF(ISERROR(VALUE(TRIM(CLEAN(MID(C23,FIND("/",C23)+1,FIND(")",C23,1)-FIND("/",C23)-1))))),0,VALUE(TRIM(CLEAN(MID(C23,FIND("/",C23)+1,FIND(")",C23,1)-FIND("/",C23)-1)))))</f>
        <v>49</v>
      </c>
      <c r="C4" s="16">
        <f>IF(ISERROR(VALUE(TRIM(CLEAN(MID(C23,FIND("(",C23)+1,FIND("/",C23,1)-FIND("(",C23)-1))))),0,VALUE(TRIM(CLEAN(MID(C23,FIND("(",C23)+1,FIND("/",C23,1)-FIND("(",C23)-1)))))</f>
        <v>48</v>
      </c>
      <c r="E4" s="29" t="s">
        <v>2</v>
      </c>
    </row>
    <row r="5" spans="1:5" ht="22.5" x14ac:dyDescent="0.2">
      <c r="A5" s="20" t="s">
        <v>17</v>
      </c>
      <c r="B5" s="21">
        <f>IF(ISERROR(VALUE(TRIM(CLEAN(MID(C24,FIND("/",C24)+1,FIND(")",C24,1)-FIND("/",C24)-1))))),0,VALUE(TRIM(CLEAN(MID(C24,FIND("/",C24)+1,FIND(")",C24,1)-FIND("/",C24)-1)))))</f>
        <v>3</v>
      </c>
      <c r="C5" s="16">
        <f>IF(ISERROR(VALUE(TRIM(CLEAN(MID(C24,FIND("(",C24)+1,FIND("/",C24,1)-FIND("(",C24)-1))))),0,VALUE(TRIM(CLEAN(MID(C24,FIND("(",C24)+1,FIND("/",C24,1)-FIND("(",C24)-1)))))</f>
        <v>3</v>
      </c>
    </row>
    <row r="6" spans="1:5" x14ac:dyDescent="0.2">
      <c r="A6" s="20"/>
      <c r="B6" s="21"/>
      <c r="C6" s="16"/>
    </row>
    <row r="7" spans="1:5" ht="13.5" thickBot="1" x14ac:dyDescent="0.25">
      <c r="A7" s="22" t="s">
        <v>13</v>
      </c>
      <c r="B7" s="23">
        <f>SUM(B2:B5)</f>
        <v>99</v>
      </c>
      <c r="C7" s="17">
        <f>SUM(C2:C5)</f>
        <v>97</v>
      </c>
    </row>
    <row r="8" spans="1:5" x14ac:dyDescent="0.2">
      <c r="A8" s="12"/>
      <c r="B8" s="7"/>
      <c r="C8" s="7"/>
    </row>
    <row r="9" spans="1:5" ht="13.5" thickBot="1" x14ac:dyDescent="0.25">
      <c r="A9" s="10"/>
      <c r="B9" s="7"/>
      <c r="C9" s="7"/>
    </row>
    <row r="10" spans="1:5" ht="24" thickTop="1" thickBot="1" x14ac:dyDescent="0.25">
      <c r="A10" s="24" t="s">
        <v>18</v>
      </c>
      <c r="B10" s="26">
        <f>B7-C7</f>
        <v>2</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2</v>
      </c>
    </row>
    <row r="16" spans="1:5" ht="23.25" thickBot="1" x14ac:dyDescent="0.25">
      <c r="A16" s="25" t="s">
        <v>20</v>
      </c>
      <c r="B16" s="28"/>
      <c r="C16" s="28">
        <f t="shared" si="0"/>
        <v>0</v>
      </c>
    </row>
    <row r="17" spans="1:8" x14ac:dyDescent="0.2">
      <c r="C17" s="5">
        <f>SUM(C11:C16)</f>
        <v>2</v>
      </c>
    </row>
    <row r="18" spans="1:8" customFormat="1" ht="23.25" x14ac:dyDescent="0.25">
      <c r="A18" s="4" t="s">
        <v>3</v>
      </c>
      <c r="B18" s="6" t="s">
        <v>4</v>
      </c>
      <c r="C18" s="8" t="s">
        <v>6</v>
      </c>
      <c r="D18" s="8" t="s">
        <v>7</v>
      </c>
      <c r="E18" s="8" t="s">
        <v>5</v>
      </c>
      <c r="F18" s="3" t="s">
        <v>10</v>
      </c>
      <c r="G18" s="1" t="s">
        <v>9</v>
      </c>
      <c r="H18" s="2" t="s">
        <v>8</v>
      </c>
    </row>
    <row r="19" spans="1:8" x14ac:dyDescent="0.2">
      <c r="A19" s="5" t="s">
        <v>1692</v>
      </c>
    </row>
    <row r="20" spans="1:8" x14ac:dyDescent="0.2">
      <c r="C20" s="5" t="s">
        <v>1693</v>
      </c>
    </row>
    <row r="21" spans="1:8" x14ac:dyDescent="0.2">
      <c r="C21" s="5" t="s">
        <v>859</v>
      </c>
    </row>
    <row r="22" spans="1:8" x14ac:dyDescent="0.2">
      <c r="C22" s="5" t="s">
        <v>1694</v>
      </c>
    </row>
    <row r="23" spans="1:8" x14ac:dyDescent="0.2">
      <c r="C23" s="5" t="s">
        <v>1695</v>
      </c>
    </row>
    <row r="24" spans="1:8" x14ac:dyDescent="0.2">
      <c r="C24" s="5" t="s">
        <v>728</v>
      </c>
    </row>
    <row r="25" spans="1:8" x14ac:dyDescent="0.2">
      <c r="B25" s="5" t="s">
        <v>1696</v>
      </c>
    </row>
    <row r="26" spans="1:8" x14ac:dyDescent="0.2">
      <c r="D26" s="5" t="s">
        <v>703</v>
      </c>
    </row>
    <row r="27" spans="1:8" x14ac:dyDescent="0.2">
      <c r="D27" s="5" t="s">
        <v>704</v>
      </c>
    </row>
    <row r="28" spans="1:8" x14ac:dyDescent="0.2">
      <c r="D28" s="5" t="s">
        <v>705</v>
      </c>
    </row>
    <row r="29" spans="1:8" x14ac:dyDescent="0.2">
      <c r="D29" s="5" t="s">
        <v>711</v>
      </c>
    </row>
    <row r="30" spans="1:8" x14ac:dyDescent="0.2">
      <c r="D30" s="5" t="s">
        <v>712</v>
      </c>
    </row>
    <row r="31" spans="1:8" x14ac:dyDescent="0.2">
      <c r="B31" s="5" t="s">
        <v>1697</v>
      </c>
    </row>
    <row r="32" spans="1:8" x14ac:dyDescent="0.2">
      <c r="D32" s="5" t="s">
        <v>703</v>
      </c>
    </row>
    <row r="33" spans="2:8" x14ac:dyDescent="0.2">
      <c r="D33" s="5" t="s">
        <v>704</v>
      </c>
    </row>
    <row r="34" spans="2:8" x14ac:dyDescent="0.2">
      <c r="D34" s="5" t="s">
        <v>705</v>
      </c>
    </row>
    <row r="35" spans="2:8" x14ac:dyDescent="0.2">
      <c r="D35" s="5" t="s">
        <v>711</v>
      </c>
    </row>
    <row r="36" spans="2:8" x14ac:dyDescent="0.2">
      <c r="D36" s="5" t="s">
        <v>712</v>
      </c>
    </row>
    <row r="37" spans="2:8" x14ac:dyDescent="0.2">
      <c r="B37" s="5" t="s">
        <v>1698</v>
      </c>
    </row>
    <row r="38" spans="2:8" x14ac:dyDescent="0.2">
      <c r="D38" s="5" t="s">
        <v>703</v>
      </c>
    </row>
    <row r="39" spans="2:8" x14ac:dyDescent="0.2">
      <c r="D39" s="5" t="s">
        <v>704</v>
      </c>
    </row>
    <row r="40" spans="2:8" x14ac:dyDescent="0.2">
      <c r="D40" s="5" t="s">
        <v>705</v>
      </c>
    </row>
    <row r="41" spans="2:8" x14ac:dyDescent="0.2">
      <c r="D41" s="5" t="s">
        <v>711</v>
      </c>
    </row>
    <row r="42" spans="2:8" x14ac:dyDescent="0.2">
      <c r="D42" s="5" t="s">
        <v>712</v>
      </c>
    </row>
    <row r="43" spans="2:8" x14ac:dyDescent="0.2">
      <c r="B43" s="5" t="s">
        <v>1699</v>
      </c>
    </row>
    <row r="44" spans="2:8" x14ac:dyDescent="0.2">
      <c r="D44" s="5" t="s">
        <v>1700</v>
      </c>
    </row>
    <row r="45" spans="2:8" x14ac:dyDescent="0.2">
      <c r="E45" s="5" t="s">
        <v>1701</v>
      </c>
      <c r="F45" s="5">
        <v>404</v>
      </c>
      <c r="G45" s="5" t="s">
        <v>19</v>
      </c>
      <c r="H45" s="5" t="s">
        <v>1925</v>
      </c>
    </row>
    <row r="46" spans="2:8" x14ac:dyDescent="0.2">
      <c r="D46" s="5" t="s">
        <v>859</v>
      </c>
    </row>
    <row r="47" spans="2:8" x14ac:dyDescent="0.2">
      <c r="D47" s="5" t="s">
        <v>1702</v>
      </c>
    </row>
    <row r="48" spans="2:8" x14ac:dyDescent="0.2">
      <c r="D48" s="5" t="s">
        <v>1695</v>
      </c>
    </row>
    <row r="49" spans="4:8" x14ac:dyDescent="0.2">
      <c r="E49" s="5" t="s">
        <v>1703</v>
      </c>
      <c r="F49" s="5">
        <v>404</v>
      </c>
      <c r="G49" s="5" t="s">
        <v>19</v>
      </c>
      <c r="H49" s="5" t="s">
        <v>1925</v>
      </c>
    </row>
    <row r="50" spans="4:8" x14ac:dyDescent="0.2">
      <c r="D50" s="5" t="s">
        <v>728</v>
      </c>
    </row>
  </sheetData>
  <autoFilter ref="A18:H18"/>
  <conditionalFormatting sqref="C17">
    <cfRule type="cellIs" dxfId="7" priority="1" stopIfTrue="1" operator="equal">
      <formula>$B$10</formula>
    </cfRule>
    <cfRule type="cellIs" dxfId="6"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tabColor indexed="11"/>
  </sheetPr>
  <dimension ref="A1:H660"/>
  <sheetViews>
    <sheetView workbookViewId="0">
      <selection activeCell="E4" sqref="E4"/>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774</v>
      </c>
      <c r="C2" s="15">
        <f>IF(ISERROR(VALUE(TRIM(CLEAN(MID(C20,FIND("(",C20)+1,FIND("/",C20,1)-FIND("(",C20)-1))))),0,VALUE(TRIM(CLEAN(MID(C20,FIND("(",C20)+1,FIND("/",C20,1)-FIND("(",C20)-1)))))</f>
        <v>773</v>
      </c>
    </row>
    <row r="3" spans="1:5" ht="22.5" x14ac:dyDescent="0.2">
      <c r="A3" s="20" t="s">
        <v>15</v>
      </c>
      <c r="B3" s="21">
        <f>IF(ISERROR(VALUE(TRIM(CLEAN(MID(C21,FIND("/",C21)+1,FIND(")",C21,1)-FIND("/",C21)-1))))),0,VALUE(TRIM(CLEAN(MID(C21,FIND("/",C21)+1,FIND(")",C21,1)-FIND("/",C21)-1)))))</f>
        <v>73</v>
      </c>
      <c r="C3" s="16">
        <f>IF(ISERROR(VALUE(TRIM(CLEAN(MID(C21,FIND("(",C21)+1,FIND("/",C21,1)-FIND("(",C21)-1))))),0,VALUE(TRIM(CLEAN(MID(C21,FIND("(",C21)+1,FIND("/",C21,1)-FIND("(",C21)-1)))))</f>
        <v>72</v>
      </c>
      <c r="E3" s="29" t="s">
        <v>1</v>
      </c>
    </row>
    <row r="4" spans="1:5" ht="22.5" x14ac:dyDescent="0.2">
      <c r="A4" s="20" t="s">
        <v>16</v>
      </c>
      <c r="B4" s="21">
        <f>IF(ISERROR(VALUE(TRIM(CLEAN(MID(C23,FIND("/",C23)+1,FIND(")",C23,1)-FIND("/",C23)-1))))),0,VALUE(TRIM(CLEAN(MID(C23,FIND("/",C23)+1,FIND(")",C23,1)-FIND("/",C23)-1)))))</f>
        <v>1662</v>
      </c>
      <c r="C4" s="16">
        <f>IF(ISERROR(VALUE(TRIM(CLEAN(MID(C23,FIND("(",C23)+1,FIND("/",C23,1)-FIND("(",C23)-1))))),0,VALUE(TRIM(CLEAN(MID(C23,FIND("(",C23)+1,FIND("/",C23,1)-FIND("(",C23)-1)))))</f>
        <v>1623</v>
      </c>
      <c r="E4" s="29" t="s">
        <v>2</v>
      </c>
    </row>
    <row r="5" spans="1:5" ht="22.5" x14ac:dyDescent="0.2">
      <c r="A5" s="20" t="s">
        <v>17</v>
      </c>
      <c r="B5" s="21">
        <f>IF(ISERROR(VALUE(TRIM(CLEAN(MID(C24,FIND("/",C24)+1,FIND(")",C24,1)-FIND("/",C24)-1))))),0,VALUE(TRIM(CLEAN(MID(C24,FIND("/",C24)+1,FIND(")",C24,1)-FIND("/",C24)-1)))))</f>
        <v>627</v>
      </c>
      <c r="C5" s="16">
        <f>IF(ISERROR(VALUE(TRIM(CLEAN(MID(C24,FIND("(",C24)+1,FIND("/",C24,1)-FIND("(",C24)-1))))),0,VALUE(TRIM(CLEAN(MID(C24,FIND("(",C24)+1,FIND("/",C24,1)-FIND("(",C24)-1)))))</f>
        <v>590</v>
      </c>
    </row>
    <row r="6" spans="1:5" x14ac:dyDescent="0.2">
      <c r="A6" s="20"/>
      <c r="B6" s="21"/>
      <c r="C6" s="16"/>
    </row>
    <row r="7" spans="1:5" ht="13.5" thickBot="1" x14ac:dyDescent="0.25">
      <c r="A7" s="22" t="s">
        <v>13</v>
      </c>
      <c r="B7" s="23">
        <f>SUM(B2:B5)</f>
        <v>3136</v>
      </c>
      <c r="C7" s="17">
        <f>SUM(C2:C5)</f>
        <v>3058</v>
      </c>
    </row>
    <row r="8" spans="1:5" x14ac:dyDescent="0.2">
      <c r="A8" s="12"/>
      <c r="B8" s="7"/>
      <c r="C8" s="7"/>
    </row>
    <row r="9" spans="1:5" ht="13.5" thickBot="1" x14ac:dyDescent="0.25">
      <c r="A9" s="10"/>
      <c r="B9" s="7"/>
      <c r="C9" s="7"/>
    </row>
    <row r="10" spans="1:5" ht="24" thickTop="1" thickBot="1" x14ac:dyDescent="0.25">
      <c r="A10" s="24" t="s">
        <v>18</v>
      </c>
      <c r="B10" s="26">
        <f>B7-C7</f>
        <v>78</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78</v>
      </c>
    </row>
    <row r="16" spans="1:5" ht="23.25" thickBot="1" x14ac:dyDescent="0.25">
      <c r="A16" s="25" t="s">
        <v>20</v>
      </c>
      <c r="B16" s="28"/>
      <c r="C16" s="28">
        <f t="shared" si="0"/>
        <v>0</v>
      </c>
    </row>
    <row r="17" spans="1:8" x14ac:dyDescent="0.2">
      <c r="C17" s="5">
        <f>SUM(C11:C16)</f>
        <v>78</v>
      </c>
    </row>
    <row r="18" spans="1:8" customFormat="1" ht="23.25" x14ac:dyDescent="0.25">
      <c r="A18" s="4" t="s">
        <v>3</v>
      </c>
      <c r="B18" s="6" t="s">
        <v>4</v>
      </c>
      <c r="C18" s="8" t="s">
        <v>6</v>
      </c>
      <c r="D18" s="8" t="s">
        <v>7</v>
      </c>
      <c r="E18" s="8" t="s">
        <v>5</v>
      </c>
      <c r="F18" s="3" t="s">
        <v>10</v>
      </c>
      <c r="G18" s="1" t="s">
        <v>9</v>
      </c>
      <c r="H18" s="2" t="s">
        <v>8</v>
      </c>
    </row>
    <row r="19" spans="1:8" x14ac:dyDescent="0.2">
      <c r="A19" s="5" t="s">
        <v>1705</v>
      </c>
    </row>
    <row r="20" spans="1:8" x14ac:dyDescent="0.2">
      <c r="C20" s="5" t="s">
        <v>1706</v>
      </c>
    </row>
    <row r="21" spans="1:8" x14ac:dyDescent="0.2">
      <c r="C21" s="5" t="s">
        <v>1707</v>
      </c>
    </row>
    <row r="22" spans="1:8" x14ac:dyDescent="0.2">
      <c r="C22" s="5" t="s">
        <v>1708</v>
      </c>
    </row>
    <row r="23" spans="1:8" x14ac:dyDescent="0.2">
      <c r="C23" s="5" t="s">
        <v>1709</v>
      </c>
    </row>
    <row r="24" spans="1:8" x14ac:dyDescent="0.2">
      <c r="C24" s="5" t="s">
        <v>1710</v>
      </c>
    </row>
    <row r="25" spans="1:8" x14ac:dyDescent="0.2">
      <c r="B25" s="5" t="s">
        <v>1711</v>
      </c>
    </row>
    <row r="26" spans="1:8" x14ac:dyDescent="0.2">
      <c r="D26" s="5" t="s">
        <v>1047</v>
      </c>
    </row>
    <row r="27" spans="1:8" x14ac:dyDescent="0.2">
      <c r="D27" s="5" t="s">
        <v>704</v>
      </c>
    </row>
    <row r="28" spans="1:8" x14ac:dyDescent="0.2">
      <c r="D28" s="5" t="s">
        <v>1051</v>
      </c>
    </row>
    <row r="29" spans="1:8" x14ac:dyDescent="0.2">
      <c r="D29" s="5" t="s">
        <v>1712</v>
      </c>
    </row>
    <row r="30" spans="1:8" x14ac:dyDescent="0.2">
      <c r="E30" s="5" t="s">
        <v>1713</v>
      </c>
      <c r="F30" s="5">
        <v>283</v>
      </c>
      <c r="G30" s="5" t="s">
        <v>19</v>
      </c>
      <c r="H30" s="5" t="s">
        <v>1927</v>
      </c>
    </row>
    <row r="31" spans="1:8" x14ac:dyDescent="0.2">
      <c r="E31" s="5" t="s">
        <v>1714</v>
      </c>
      <c r="F31" s="5">
        <v>310</v>
      </c>
      <c r="G31" s="5" t="s">
        <v>19</v>
      </c>
      <c r="H31" s="5" t="s">
        <v>1927</v>
      </c>
    </row>
    <row r="32" spans="1:8" x14ac:dyDescent="0.2">
      <c r="D32" s="5" t="s">
        <v>1715</v>
      </c>
      <c r="F32"/>
      <c r="G32"/>
      <c r="H32"/>
    </row>
    <row r="33" spans="2:8" x14ac:dyDescent="0.2">
      <c r="E33" s="5" t="s">
        <v>1716</v>
      </c>
      <c r="F33" s="5">
        <v>283</v>
      </c>
      <c r="G33" s="5" t="s">
        <v>19</v>
      </c>
      <c r="H33" s="5" t="s">
        <v>1927</v>
      </c>
    </row>
    <row r="34" spans="2:8" x14ac:dyDescent="0.2">
      <c r="E34" s="5" t="s">
        <v>1717</v>
      </c>
      <c r="F34" s="5">
        <v>310</v>
      </c>
      <c r="G34" s="5" t="s">
        <v>19</v>
      </c>
      <c r="H34" s="5" t="s">
        <v>1927</v>
      </c>
    </row>
    <row r="35" spans="2:8" x14ac:dyDescent="0.2">
      <c r="B35" s="5" t="s">
        <v>1718</v>
      </c>
      <c r="F35"/>
      <c r="G35"/>
      <c r="H35"/>
    </row>
    <row r="36" spans="2:8" x14ac:dyDescent="0.2">
      <c r="D36" s="5" t="s">
        <v>1047</v>
      </c>
      <c r="F36"/>
      <c r="G36"/>
      <c r="H36"/>
    </row>
    <row r="37" spans="2:8" x14ac:dyDescent="0.2">
      <c r="D37" s="5" t="s">
        <v>834</v>
      </c>
      <c r="F37"/>
      <c r="G37"/>
      <c r="H37"/>
    </row>
    <row r="38" spans="2:8" x14ac:dyDescent="0.2">
      <c r="D38" s="5" t="s">
        <v>1197</v>
      </c>
      <c r="F38"/>
      <c r="G38"/>
      <c r="H38"/>
    </row>
    <row r="39" spans="2:8" x14ac:dyDescent="0.2">
      <c r="D39" s="5" t="s">
        <v>1632</v>
      </c>
      <c r="F39"/>
      <c r="G39"/>
      <c r="H39"/>
    </row>
    <row r="40" spans="2:8" x14ac:dyDescent="0.2">
      <c r="D40" s="5" t="s">
        <v>1719</v>
      </c>
      <c r="F40"/>
      <c r="G40"/>
      <c r="H40"/>
    </row>
    <row r="41" spans="2:8" x14ac:dyDescent="0.2">
      <c r="B41" s="5" t="s">
        <v>1720</v>
      </c>
      <c r="F41"/>
      <c r="G41"/>
      <c r="H41"/>
    </row>
    <row r="42" spans="2:8" x14ac:dyDescent="0.2">
      <c r="D42" s="5" t="s">
        <v>1047</v>
      </c>
      <c r="F42"/>
      <c r="G42"/>
      <c r="H42"/>
    </row>
    <row r="43" spans="2:8" x14ac:dyDescent="0.2">
      <c r="D43" s="5" t="s">
        <v>834</v>
      </c>
      <c r="F43"/>
      <c r="G43"/>
      <c r="H43"/>
    </row>
    <row r="44" spans="2:8" x14ac:dyDescent="0.2">
      <c r="D44" s="5" t="s">
        <v>1197</v>
      </c>
      <c r="F44"/>
      <c r="G44"/>
      <c r="H44"/>
    </row>
    <row r="45" spans="2:8" x14ac:dyDescent="0.2">
      <c r="D45" s="5" t="s">
        <v>1399</v>
      </c>
      <c r="F45"/>
      <c r="G45"/>
      <c r="H45"/>
    </row>
    <row r="46" spans="2:8" x14ac:dyDescent="0.2">
      <c r="E46" s="5" t="s">
        <v>1721</v>
      </c>
      <c r="F46" s="5">
        <v>569</v>
      </c>
      <c r="G46" s="5" t="s">
        <v>19</v>
      </c>
      <c r="H46" s="5" t="s">
        <v>1927</v>
      </c>
    </row>
    <row r="47" spans="2:8" x14ac:dyDescent="0.2">
      <c r="E47" s="5" t="s">
        <v>1722</v>
      </c>
      <c r="F47" s="5">
        <v>594</v>
      </c>
      <c r="G47" s="5" t="s">
        <v>19</v>
      </c>
      <c r="H47" s="5" t="s">
        <v>1927</v>
      </c>
    </row>
    <row r="48" spans="2:8" x14ac:dyDescent="0.2">
      <c r="D48" s="5" t="s">
        <v>1723</v>
      </c>
      <c r="F48"/>
      <c r="G48"/>
      <c r="H48"/>
    </row>
    <row r="49" spans="2:8" x14ac:dyDescent="0.2">
      <c r="E49" s="5" t="s">
        <v>1724</v>
      </c>
      <c r="F49" s="5">
        <v>569</v>
      </c>
      <c r="G49" s="5" t="s">
        <v>19</v>
      </c>
      <c r="H49" s="5" t="s">
        <v>1927</v>
      </c>
    </row>
    <row r="50" spans="2:8" x14ac:dyDescent="0.2">
      <c r="E50" s="5" t="s">
        <v>1725</v>
      </c>
      <c r="F50" s="5">
        <v>594</v>
      </c>
      <c r="G50" s="5" t="s">
        <v>19</v>
      </c>
      <c r="H50" s="5" t="s">
        <v>1927</v>
      </c>
    </row>
    <row r="51" spans="2:8" x14ac:dyDescent="0.2">
      <c r="B51" s="5" t="s">
        <v>1726</v>
      </c>
      <c r="F51"/>
      <c r="G51"/>
      <c r="H51"/>
    </row>
    <row r="52" spans="2:8" x14ac:dyDescent="0.2">
      <c r="D52" s="5" t="s">
        <v>1047</v>
      </c>
      <c r="F52"/>
      <c r="G52"/>
      <c r="H52"/>
    </row>
    <row r="53" spans="2:8" x14ac:dyDescent="0.2">
      <c r="D53" s="5" t="s">
        <v>704</v>
      </c>
      <c r="F53"/>
      <c r="G53"/>
      <c r="H53"/>
    </row>
    <row r="54" spans="2:8" x14ac:dyDescent="0.2">
      <c r="D54" s="5" t="s">
        <v>1051</v>
      </c>
      <c r="F54"/>
      <c r="G54"/>
      <c r="H54"/>
    </row>
    <row r="55" spans="2:8" x14ac:dyDescent="0.2">
      <c r="D55" s="5" t="s">
        <v>733</v>
      </c>
      <c r="F55"/>
      <c r="G55"/>
      <c r="H55"/>
    </row>
    <row r="56" spans="2:8" x14ac:dyDescent="0.2">
      <c r="D56" s="5" t="s">
        <v>1633</v>
      </c>
      <c r="F56"/>
      <c r="G56"/>
      <c r="H56"/>
    </row>
    <row r="57" spans="2:8" x14ac:dyDescent="0.2">
      <c r="B57" s="5" t="s">
        <v>1727</v>
      </c>
      <c r="F57"/>
      <c r="G57"/>
      <c r="H57"/>
    </row>
    <row r="58" spans="2:8" x14ac:dyDescent="0.2">
      <c r="D58" s="5" t="s">
        <v>1056</v>
      </c>
      <c r="F58"/>
      <c r="G58"/>
      <c r="H58"/>
    </row>
    <row r="59" spans="2:8" x14ac:dyDescent="0.2">
      <c r="D59" s="5" t="s">
        <v>704</v>
      </c>
      <c r="F59"/>
      <c r="G59"/>
      <c r="H59"/>
    </row>
    <row r="60" spans="2:8" x14ac:dyDescent="0.2">
      <c r="D60" s="5" t="s">
        <v>1078</v>
      </c>
      <c r="F60"/>
      <c r="G60"/>
      <c r="H60"/>
    </row>
    <row r="61" spans="2:8" x14ac:dyDescent="0.2">
      <c r="D61" s="5" t="s">
        <v>1728</v>
      </c>
      <c r="F61"/>
      <c r="G61"/>
      <c r="H61"/>
    </row>
    <row r="62" spans="2:8" x14ac:dyDescent="0.2">
      <c r="E62" s="5" t="s">
        <v>1729</v>
      </c>
      <c r="F62" s="5">
        <v>815</v>
      </c>
      <c r="G62" s="5" t="s">
        <v>19</v>
      </c>
      <c r="H62" s="5" t="s">
        <v>1927</v>
      </c>
    </row>
    <row r="63" spans="2:8" x14ac:dyDescent="0.2">
      <c r="E63" s="5" t="s">
        <v>1730</v>
      </c>
      <c r="F63" s="5">
        <v>867</v>
      </c>
      <c r="G63" s="5" t="s">
        <v>19</v>
      </c>
      <c r="H63" s="5" t="s">
        <v>1927</v>
      </c>
    </row>
    <row r="64" spans="2:8" x14ac:dyDescent="0.2">
      <c r="E64" s="5" t="s">
        <v>1731</v>
      </c>
      <c r="F64" s="5">
        <v>868</v>
      </c>
      <c r="G64" s="5" t="s">
        <v>19</v>
      </c>
      <c r="H64" s="5" t="s">
        <v>1927</v>
      </c>
    </row>
    <row r="65" spans="4:8" x14ac:dyDescent="0.2">
      <c r="E65" s="5" t="s">
        <v>1732</v>
      </c>
      <c r="F65" s="5">
        <v>892</v>
      </c>
      <c r="G65" s="5" t="s">
        <v>19</v>
      </c>
      <c r="H65" s="5" t="s">
        <v>1927</v>
      </c>
    </row>
    <row r="66" spans="4:8" x14ac:dyDescent="0.2">
      <c r="E66" s="5" t="s">
        <v>1733</v>
      </c>
      <c r="F66" s="5">
        <v>962</v>
      </c>
      <c r="G66" s="5" t="s">
        <v>19</v>
      </c>
      <c r="H66" s="5" t="s">
        <v>1927</v>
      </c>
    </row>
    <row r="67" spans="4:8" x14ac:dyDescent="0.2">
      <c r="E67" s="5" t="s">
        <v>1734</v>
      </c>
      <c r="F67" s="5">
        <v>963</v>
      </c>
      <c r="G67" s="5" t="s">
        <v>19</v>
      </c>
      <c r="H67" s="5" t="s">
        <v>1927</v>
      </c>
    </row>
    <row r="68" spans="4:8" x14ac:dyDescent="0.2">
      <c r="E68" s="5" t="s">
        <v>1735</v>
      </c>
      <c r="F68" s="5">
        <v>1003</v>
      </c>
      <c r="G68" s="5" t="s">
        <v>19</v>
      </c>
      <c r="H68" s="5" t="s">
        <v>1927</v>
      </c>
    </row>
    <row r="69" spans="4:8" x14ac:dyDescent="0.2">
      <c r="E69" s="5" t="s">
        <v>1736</v>
      </c>
      <c r="F69" s="5">
        <v>1025</v>
      </c>
      <c r="G69" s="5" t="s">
        <v>19</v>
      </c>
      <c r="H69" s="5" t="s">
        <v>1927</v>
      </c>
    </row>
    <row r="70" spans="4:8" x14ac:dyDescent="0.2">
      <c r="E70" s="5" t="s">
        <v>1737</v>
      </c>
      <c r="F70" s="5">
        <v>1027</v>
      </c>
      <c r="G70" s="5" t="s">
        <v>19</v>
      </c>
      <c r="H70" s="5" t="s">
        <v>1927</v>
      </c>
    </row>
    <row r="71" spans="4:8" x14ac:dyDescent="0.2">
      <c r="E71" s="5" t="s">
        <v>1738</v>
      </c>
      <c r="F71" s="5">
        <v>1074</v>
      </c>
      <c r="G71" s="5" t="s">
        <v>19</v>
      </c>
      <c r="H71" s="5" t="s">
        <v>1927</v>
      </c>
    </row>
    <row r="72" spans="4:8" x14ac:dyDescent="0.2">
      <c r="E72" s="5" t="s">
        <v>1739</v>
      </c>
      <c r="F72" s="5">
        <v>1075</v>
      </c>
      <c r="G72" s="5" t="s">
        <v>19</v>
      </c>
      <c r="H72" s="5" t="s">
        <v>1927</v>
      </c>
    </row>
    <row r="73" spans="4:8" x14ac:dyDescent="0.2">
      <c r="E73" s="5" t="s">
        <v>1740</v>
      </c>
      <c r="F73" s="5">
        <v>1101</v>
      </c>
      <c r="G73" s="5" t="s">
        <v>19</v>
      </c>
      <c r="H73" s="5" t="s">
        <v>1927</v>
      </c>
    </row>
    <row r="74" spans="4:8" x14ac:dyDescent="0.2">
      <c r="E74" s="5" t="s">
        <v>1741</v>
      </c>
      <c r="F74" s="5">
        <v>1102</v>
      </c>
      <c r="G74" s="5" t="s">
        <v>19</v>
      </c>
      <c r="H74" s="5" t="s">
        <v>1927</v>
      </c>
    </row>
    <row r="75" spans="4:8" x14ac:dyDescent="0.2">
      <c r="D75" s="5" t="s">
        <v>1742</v>
      </c>
      <c r="F75"/>
      <c r="G75"/>
      <c r="H75"/>
    </row>
    <row r="76" spans="4:8" x14ac:dyDescent="0.2">
      <c r="E76" s="5" t="s">
        <v>1743</v>
      </c>
      <c r="F76" s="5">
        <v>815</v>
      </c>
      <c r="G76" s="5" t="s">
        <v>19</v>
      </c>
      <c r="H76" s="5" t="s">
        <v>1927</v>
      </c>
    </row>
    <row r="77" spans="4:8" x14ac:dyDescent="0.2">
      <c r="E77" s="5" t="s">
        <v>1744</v>
      </c>
      <c r="F77" s="5">
        <v>867</v>
      </c>
      <c r="G77" s="5" t="s">
        <v>19</v>
      </c>
      <c r="H77" s="5" t="s">
        <v>1927</v>
      </c>
    </row>
    <row r="78" spans="4:8" x14ac:dyDescent="0.2">
      <c r="E78" s="5" t="s">
        <v>1745</v>
      </c>
      <c r="F78" s="5">
        <v>868</v>
      </c>
      <c r="G78" s="5" t="s">
        <v>19</v>
      </c>
      <c r="H78" s="5" t="s">
        <v>1927</v>
      </c>
    </row>
    <row r="79" spans="4:8" x14ac:dyDescent="0.2">
      <c r="E79" s="5" t="s">
        <v>1746</v>
      </c>
      <c r="F79" s="5">
        <v>892</v>
      </c>
      <c r="G79" s="5" t="s">
        <v>19</v>
      </c>
      <c r="H79" s="5" t="s">
        <v>1927</v>
      </c>
    </row>
    <row r="80" spans="4:8" x14ac:dyDescent="0.2">
      <c r="E80" s="5" t="s">
        <v>1747</v>
      </c>
      <c r="F80" s="5">
        <v>962</v>
      </c>
      <c r="G80" s="5" t="s">
        <v>19</v>
      </c>
      <c r="H80" s="5" t="s">
        <v>1927</v>
      </c>
    </row>
    <row r="81" spans="2:8" x14ac:dyDescent="0.2">
      <c r="E81" s="5" t="s">
        <v>1748</v>
      </c>
      <c r="F81" s="5">
        <v>963</v>
      </c>
      <c r="G81" s="5" t="s">
        <v>19</v>
      </c>
      <c r="H81" s="5" t="s">
        <v>1927</v>
      </c>
    </row>
    <row r="82" spans="2:8" x14ac:dyDescent="0.2">
      <c r="E82" s="5" t="s">
        <v>1749</v>
      </c>
      <c r="F82" s="5">
        <v>1003</v>
      </c>
      <c r="G82" s="5" t="s">
        <v>19</v>
      </c>
      <c r="H82" s="5" t="s">
        <v>1927</v>
      </c>
    </row>
    <row r="83" spans="2:8" x14ac:dyDescent="0.2">
      <c r="E83" s="5" t="s">
        <v>1750</v>
      </c>
      <c r="F83" s="5">
        <v>1025</v>
      </c>
      <c r="G83" s="5" t="s">
        <v>19</v>
      </c>
      <c r="H83" s="5" t="s">
        <v>1927</v>
      </c>
    </row>
    <row r="84" spans="2:8" x14ac:dyDescent="0.2">
      <c r="E84" s="5" t="s">
        <v>1751</v>
      </c>
      <c r="F84" s="5">
        <v>1027</v>
      </c>
      <c r="G84" s="5" t="s">
        <v>19</v>
      </c>
      <c r="H84" s="5" t="s">
        <v>1927</v>
      </c>
    </row>
    <row r="85" spans="2:8" x14ac:dyDescent="0.2">
      <c r="E85" s="5" t="s">
        <v>1752</v>
      </c>
      <c r="F85" s="5">
        <v>1074</v>
      </c>
      <c r="G85" s="5" t="s">
        <v>19</v>
      </c>
      <c r="H85" s="5" t="s">
        <v>1927</v>
      </c>
    </row>
    <row r="86" spans="2:8" x14ac:dyDescent="0.2">
      <c r="E86" s="5" t="s">
        <v>1753</v>
      </c>
      <c r="F86" s="5">
        <v>1075</v>
      </c>
      <c r="G86" s="5" t="s">
        <v>19</v>
      </c>
      <c r="H86" s="5" t="s">
        <v>1927</v>
      </c>
    </row>
    <row r="87" spans="2:8" x14ac:dyDescent="0.2">
      <c r="E87" s="5" t="s">
        <v>1754</v>
      </c>
      <c r="F87" s="5">
        <v>1101</v>
      </c>
      <c r="G87" s="5" t="s">
        <v>19</v>
      </c>
      <c r="H87" s="5" t="s">
        <v>1927</v>
      </c>
    </row>
    <row r="88" spans="2:8" x14ac:dyDescent="0.2">
      <c r="E88" s="5" t="s">
        <v>1755</v>
      </c>
      <c r="F88" s="5">
        <v>1102</v>
      </c>
      <c r="G88" s="5" t="s">
        <v>19</v>
      </c>
      <c r="H88" s="5" t="s">
        <v>1927</v>
      </c>
    </row>
    <row r="89" spans="2:8" x14ac:dyDescent="0.2">
      <c r="B89" s="5" t="s">
        <v>1756</v>
      </c>
      <c r="F89"/>
      <c r="G89"/>
      <c r="H89"/>
    </row>
    <row r="90" spans="2:8" x14ac:dyDescent="0.2">
      <c r="D90" s="5" t="s">
        <v>703</v>
      </c>
    </row>
    <row r="91" spans="2:8" x14ac:dyDescent="0.2">
      <c r="D91" s="5" t="s">
        <v>704</v>
      </c>
    </row>
    <row r="92" spans="2:8" x14ac:dyDescent="0.2">
      <c r="D92" s="5" t="s">
        <v>705</v>
      </c>
    </row>
    <row r="93" spans="2:8" x14ac:dyDescent="0.2">
      <c r="D93" s="5" t="s">
        <v>711</v>
      </c>
    </row>
    <row r="94" spans="2:8" x14ac:dyDescent="0.2">
      <c r="D94" s="5" t="s">
        <v>712</v>
      </c>
    </row>
    <row r="95" spans="2:8" x14ac:dyDescent="0.2">
      <c r="B95" s="5" t="s">
        <v>1757</v>
      </c>
    </row>
    <row r="96" spans="2:8" x14ac:dyDescent="0.2">
      <c r="D96" s="5" t="s">
        <v>1758</v>
      </c>
    </row>
    <row r="97" spans="2:4" x14ac:dyDescent="0.2">
      <c r="D97" s="5" t="s">
        <v>704</v>
      </c>
    </row>
    <row r="98" spans="2:4" x14ac:dyDescent="0.2">
      <c r="D98" s="5" t="s">
        <v>1197</v>
      </c>
    </row>
    <row r="99" spans="2:4" x14ac:dyDescent="0.2">
      <c r="D99" s="5" t="s">
        <v>1643</v>
      </c>
    </row>
    <row r="100" spans="2:4" x14ac:dyDescent="0.2">
      <c r="D100" s="5" t="s">
        <v>734</v>
      </c>
    </row>
    <row r="101" spans="2:4" x14ac:dyDescent="0.2">
      <c r="B101" s="5" t="s">
        <v>1759</v>
      </c>
    </row>
    <row r="102" spans="2:4" x14ac:dyDescent="0.2">
      <c r="D102" s="5" t="s">
        <v>1641</v>
      </c>
    </row>
    <row r="103" spans="2:4" x14ac:dyDescent="0.2">
      <c r="D103" s="5" t="s">
        <v>859</v>
      </c>
    </row>
    <row r="104" spans="2:4" x14ac:dyDescent="0.2">
      <c r="D104" s="5" t="s">
        <v>1637</v>
      </c>
    </row>
    <row r="105" spans="2:4" x14ac:dyDescent="0.2">
      <c r="D105" s="5" t="s">
        <v>794</v>
      </c>
    </row>
    <row r="106" spans="2:4" x14ac:dyDescent="0.2">
      <c r="D106" s="5" t="s">
        <v>707</v>
      </c>
    </row>
    <row r="107" spans="2:4" x14ac:dyDescent="0.2">
      <c r="B107" s="5" t="s">
        <v>1760</v>
      </c>
    </row>
    <row r="108" spans="2:4" x14ac:dyDescent="0.2">
      <c r="D108" s="5" t="s">
        <v>833</v>
      </c>
    </row>
    <row r="109" spans="2:4" x14ac:dyDescent="0.2">
      <c r="D109" s="5" t="s">
        <v>859</v>
      </c>
    </row>
    <row r="110" spans="2:4" x14ac:dyDescent="0.2">
      <c r="D110" s="5" t="s">
        <v>839</v>
      </c>
    </row>
    <row r="111" spans="2:4" x14ac:dyDescent="0.2">
      <c r="D111" s="5" t="s">
        <v>1033</v>
      </c>
    </row>
    <row r="112" spans="2:4" x14ac:dyDescent="0.2">
      <c r="D112" s="5" t="s">
        <v>707</v>
      </c>
    </row>
    <row r="113" spans="2:4" x14ac:dyDescent="0.2">
      <c r="B113" s="5" t="s">
        <v>1761</v>
      </c>
    </row>
    <row r="114" spans="2:4" x14ac:dyDescent="0.2">
      <c r="D114" s="5" t="s">
        <v>1000</v>
      </c>
    </row>
    <row r="115" spans="2:4" x14ac:dyDescent="0.2">
      <c r="D115" s="5" t="s">
        <v>859</v>
      </c>
    </row>
    <row r="116" spans="2:4" x14ac:dyDescent="0.2">
      <c r="D116" s="5" t="s">
        <v>883</v>
      </c>
    </row>
    <row r="117" spans="2:4" x14ac:dyDescent="0.2">
      <c r="D117" s="5" t="s">
        <v>1026</v>
      </c>
    </row>
    <row r="118" spans="2:4" x14ac:dyDescent="0.2">
      <c r="D118" s="5" t="s">
        <v>712</v>
      </c>
    </row>
    <row r="119" spans="2:4" x14ac:dyDescent="0.2">
      <c r="B119" s="5" t="s">
        <v>1762</v>
      </c>
    </row>
    <row r="120" spans="2:4" x14ac:dyDescent="0.2">
      <c r="D120" s="5" t="s">
        <v>703</v>
      </c>
    </row>
    <row r="121" spans="2:4" x14ac:dyDescent="0.2">
      <c r="D121" s="5" t="s">
        <v>704</v>
      </c>
    </row>
    <row r="122" spans="2:4" x14ac:dyDescent="0.2">
      <c r="D122" s="5" t="s">
        <v>705</v>
      </c>
    </row>
    <row r="123" spans="2:4" x14ac:dyDescent="0.2">
      <c r="D123" s="5" t="s">
        <v>711</v>
      </c>
    </row>
    <row r="124" spans="2:4" x14ac:dyDescent="0.2">
      <c r="D124" s="5" t="s">
        <v>712</v>
      </c>
    </row>
    <row r="125" spans="2:4" x14ac:dyDescent="0.2">
      <c r="B125" s="5" t="s">
        <v>1763</v>
      </c>
    </row>
    <row r="126" spans="2:4" x14ac:dyDescent="0.2">
      <c r="D126" s="5" t="s">
        <v>1047</v>
      </c>
    </row>
    <row r="127" spans="2:4" x14ac:dyDescent="0.2">
      <c r="D127" s="5" t="s">
        <v>704</v>
      </c>
    </row>
    <row r="128" spans="2:4" x14ac:dyDescent="0.2">
      <c r="D128" s="5" t="s">
        <v>1051</v>
      </c>
    </row>
    <row r="129" spans="2:4" x14ac:dyDescent="0.2">
      <c r="D129" s="5" t="s">
        <v>1643</v>
      </c>
    </row>
    <row r="130" spans="2:4" x14ac:dyDescent="0.2">
      <c r="D130" s="5" t="s">
        <v>1719</v>
      </c>
    </row>
    <row r="131" spans="2:4" x14ac:dyDescent="0.2">
      <c r="B131" s="5" t="s">
        <v>1764</v>
      </c>
    </row>
    <row r="132" spans="2:4" x14ac:dyDescent="0.2">
      <c r="D132" s="5" t="s">
        <v>833</v>
      </c>
    </row>
    <row r="133" spans="2:4" x14ac:dyDescent="0.2">
      <c r="D133" s="5" t="s">
        <v>859</v>
      </c>
    </row>
    <row r="134" spans="2:4" x14ac:dyDescent="0.2">
      <c r="D134" s="5" t="s">
        <v>839</v>
      </c>
    </row>
    <row r="135" spans="2:4" x14ac:dyDescent="0.2">
      <c r="D135" s="5" t="s">
        <v>794</v>
      </c>
    </row>
    <row r="136" spans="2:4" x14ac:dyDescent="0.2">
      <c r="D136" s="5" t="s">
        <v>712</v>
      </c>
    </row>
    <row r="137" spans="2:4" x14ac:dyDescent="0.2">
      <c r="B137" s="5" t="s">
        <v>1765</v>
      </c>
    </row>
    <row r="138" spans="2:4" x14ac:dyDescent="0.2">
      <c r="D138" s="5" t="s">
        <v>1641</v>
      </c>
    </row>
    <row r="139" spans="2:4" x14ac:dyDescent="0.2">
      <c r="D139" s="5" t="s">
        <v>859</v>
      </c>
    </row>
    <row r="140" spans="2:4" x14ac:dyDescent="0.2">
      <c r="D140" s="5" t="s">
        <v>1637</v>
      </c>
    </row>
    <row r="141" spans="2:4" x14ac:dyDescent="0.2">
      <c r="D141" s="5" t="s">
        <v>794</v>
      </c>
    </row>
    <row r="142" spans="2:4" x14ac:dyDescent="0.2">
      <c r="D142" s="5" t="s">
        <v>707</v>
      </c>
    </row>
    <row r="143" spans="2:4" x14ac:dyDescent="0.2">
      <c r="B143" s="5" t="s">
        <v>1766</v>
      </c>
    </row>
    <row r="144" spans="2:4" x14ac:dyDescent="0.2">
      <c r="D144" s="5" t="s">
        <v>882</v>
      </c>
    </row>
    <row r="145" spans="2:4" x14ac:dyDescent="0.2">
      <c r="D145" s="5" t="s">
        <v>834</v>
      </c>
    </row>
    <row r="146" spans="2:4" x14ac:dyDescent="0.2">
      <c r="D146" s="5" t="s">
        <v>865</v>
      </c>
    </row>
    <row r="147" spans="2:4" x14ac:dyDescent="0.2">
      <c r="D147" s="5" t="s">
        <v>743</v>
      </c>
    </row>
    <row r="148" spans="2:4" x14ac:dyDescent="0.2">
      <c r="D148" s="5" t="s">
        <v>744</v>
      </c>
    </row>
    <row r="149" spans="2:4" x14ac:dyDescent="0.2">
      <c r="B149" s="5" t="s">
        <v>1767</v>
      </c>
    </row>
    <row r="150" spans="2:4" x14ac:dyDescent="0.2">
      <c r="D150" s="5" t="s">
        <v>1196</v>
      </c>
    </row>
    <row r="151" spans="2:4" x14ac:dyDescent="0.2">
      <c r="D151" s="5" t="s">
        <v>897</v>
      </c>
    </row>
    <row r="152" spans="2:4" x14ac:dyDescent="0.2">
      <c r="D152" s="5" t="s">
        <v>1136</v>
      </c>
    </row>
    <row r="153" spans="2:4" x14ac:dyDescent="0.2">
      <c r="D153" s="5" t="s">
        <v>800</v>
      </c>
    </row>
    <row r="154" spans="2:4" x14ac:dyDescent="0.2">
      <c r="D154" s="5" t="s">
        <v>744</v>
      </c>
    </row>
    <row r="155" spans="2:4" x14ac:dyDescent="0.2">
      <c r="B155" s="5" t="s">
        <v>1768</v>
      </c>
    </row>
    <row r="156" spans="2:4" x14ac:dyDescent="0.2">
      <c r="D156" s="5" t="s">
        <v>703</v>
      </c>
    </row>
    <row r="157" spans="2:4" x14ac:dyDescent="0.2">
      <c r="D157" s="5" t="s">
        <v>704</v>
      </c>
    </row>
    <row r="158" spans="2:4" x14ac:dyDescent="0.2">
      <c r="D158" s="5" t="s">
        <v>705</v>
      </c>
    </row>
    <row r="159" spans="2:4" x14ac:dyDescent="0.2">
      <c r="D159" s="5" t="s">
        <v>711</v>
      </c>
    </row>
    <row r="160" spans="2:4" x14ac:dyDescent="0.2">
      <c r="D160" s="5" t="s">
        <v>712</v>
      </c>
    </row>
    <row r="161" spans="2:8" x14ac:dyDescent="0.2">
      <c r="B161" s="5" t="s">
        <v>1769</v>
      </c>
    </row>
    <row r="162" spans="2:8" x14ac:dyDescent="0.2">
      <c r="D162" s="5" t="s">
        <v>1758</v>
      </c>
    </row>
    <row r="163" spans="2:8" x14ac:dyDescent="0.2">
      <c r="D163" s="5" t="s">
        <v>704</v>
      </c>
    </row>
    <row r="164" spans="2:8" x14ac:dyDescent="0.2">
      <c r="D164" s="5" t="s">
        <v>1197</v>
      </c>
    </row>
    <row r="165" spans="2:8" x14ac:dyDescent="0.2">
      <c r="D165" s="5" t="s">
        <v>1770</v>
      </c>
    </row>
    <row r="166" spans="2:8" x14ac:dyDescent="0.2">
      <c r="E166" s="5" t="s">
        <v>1771</v>
      </c>
      <c r="F166" s="5">
        <v>2342</v>
      </c>
      <c r="G166" s="5" t="s">
        <v>19</v>
      </c>
      <c r="H166" s="5" t="s">
        <v>1927</v>
      </c>
    </row>
    <row r="167" spans="2:8" x14ac:dyDescent="0.2">
      <c r="E167" s="5" t="s">
        <v>1772</v>
      </c>
      <c r="F167" s="5">
        <v>2360</v>
      </c>
      <c r="G167" s="5" t="s">
        <v>19</v>
      </c>
      <c r="H167" s="5" t="s">
        <v>1927</v>
      </c>
    </row>
    <row r="168" spans="2:8" x14ac:dyDescent="0.2">
      <c r="D168" s="5" t="s">
        <v>1773</v>
      </c>
      <c r="F168"/>
      <c r="G168"/>
      <c r="H168"/>
    </row>
    <row r="169" spans="2:8" x14ac:dyDescent="0.2">
      <c r="E169" s="5" t="s">
        <v>1774</v>
      </c>
      <c r="F169" s="5">
        <v>2342</v>
      </c>
      <c r="G169" s="5" t="s">
        <v>19</v>
      </c>
      <c r="H169" s="5" t="s">
        <v>1927</v>
      </c>
    </row>
    <row r="170" spans="2:8" x14ac:dyDescent="0.2">
      <c r="E170" s="5" t="s">
        <v>1775</v>
      </c>
      <c r="F170" s="5">
        <v>2360</v>
      </c>
      <c r="G170" s="5" t="s">
        <v>19</v>
      </c>
      <c r="H170" s="5" t="s">
        <v>1927</v>
      </c>
    </row>
    <row r="171" spans="2:8" x14ac:dyDescent="0.2">
      <c r="B171" s="5" t="s">
        <v>1776</v>
      </c>
      <c r="F171"/>
      <c r="G171"/>
      <c r="H171"/>
    </row>
    <row r="172" spans="2:8" x14ac:dyDescent="0.2">
      <c r="D172" s="5" t="s">
        <v>703</v>
      </c>
      <c r="F172"/>
      <c r="G172"/>
      <c r="H172"/>
    </row>
    <row r="173" spans="2:8" x14ac:dyDescent="0.2">
      <c r="D173" s="5" t="s">
        <v>704</v>
      </c>
      <c r="F173"/>
      <c r="G173"/>
      <c r="H173"/>
    </row>
    <row r="174" spans="2:8" x14ac:dyDescent="0.2">
      <c r="D174" s="5" t="s">
        <v>705</v>
      </c>
      <c r="F174"/>
      <c r="G174"/>
      <c r="H174"/>
    </row>
    <row r="175" spans="2:8" x14ac:dyDescent="0.2">
      <c r="D175" s="5" t="s">
        <v>711</v>
      </c>
      <c r="F175"/>
      <c r="G175"/>
      <c r="H175"/>
    </row>
    <row r="176" spans="2:8" x14ac:dyDescent="0.2">
      <c r="D176" s="5" t="s">
        <v>712</v>
      </c>
      <c r="F176"/>
      <c r="G176"/>
      <c r="H176"/>
    </row>
    <row r="177" spans="2:8" x14ac:dyDescent="0.2">
      <c r="B177" s="5" t="s">
        <v>1777</v>
      </c>
      <c r="F177"/>
      <c r="G177"/>
      <c r="H177"/>
    </row>
    <row r="178" spans="2:8" x14ac:dyDescent="0.2">
      <c r="D178" s="5" t="s">
        <v>1047</v>
      </c>
      <c r="F178"/>
      <c r="G178"/>
      <c r="H178"/>
    </row>
    <row r="179" spans="2:8" x14ac:dyDescent="0.2">
      <c r="D179" s="5" t="s">
        <v>704</v>
      </c>
      <c r="F179"/>
      <c r="G179"/>
      <c r="H179"/>
    </row>
    <row r="180" spans="2:8" x14ac:dyDescent="0.2">
      <c r="D180" s="5" t="s">
        <v>1051</v>
      </c>
      <c r="F180"/>
      <c r="G180"/>
      <c r="H180"/>
    </row>
    <row r="181" spans="2:8" x14ac:dyDescent="0.2">
      <c r="D181" s="5" t="s">
        <v>1770</v>
      </c>
      <c r="F181"/>
      <c r="G181"/>
      <c r="H181"/>
    </row>
    <row r="182" spans="2:8" x14ac:dyDescent="0.2">
      <c r="E182" s="5" t="s">
        <v>1778</v>
      </c>
      <c r="F182" s="5">
        <v>2506</v>
      </c>
      <c r="G182" s="5" t="s">
        <v>19</v>
      </c>
      <c r="H182" s="5" t="s">
        <v>1927</v>
      </c>
    </row>
    <row r="183" spans="2:8" x14ac:dyDescent="0.2">
      <c r="E183" s="5" t="s">
        <v>1779</v>
      </c>
      <c r="F183" s="5">
        <v>2524</v>
      </c>
      <c r="G183" s="5" t="s">
        <v>19</v>
      </c>
      <c r="H183" s="5" t="s">
        <v>1927</v>
      </c>
    </row>
    <row r="184" spans="2:8" x14ac:dyDescent="0.2">
      <c r="D184" s="5" t="s">
        <v>1780</v>
      </c>
      <c r="F184"/>
      <c r="G184"/>
      <c r="H184"/>
    </row>
    <row r="185" spans="2:8" x14ac:dyDescent="0.2">
      <c r="E185" s="5" t="s">
        <v>1781</v>
      </c>
      <c r="F185" s="5">
        <v>2506</v>
      </c>
      <c r="G185" s="5" t="s">
        <v>19</v>
      </c>
      <c r="H185" s="5" t="s">
        <v>1927</v>
      </c>
    </row>
    <row r="186" spans="2:8" x14ac:dyDescent="0.2">
      <c r="E186" s="5" t="s">
        <v>1782</v>
      </c>
      <c r="F186" s="5">
        <v>2524</v>
      </c>
      <c r="G186" s="5" t="s">
        <v>19</v>
      </c>
      <c r="H186" s="5" t="s">
        <v>1927</v>
      </c>
    </row>
    <row r="187" spans="2:8" x14ac:dyDescent="0.2">
      <c r="B187" s="5" t="s">
        <v>1783</v>
      </c>
      <c r="F187"/>
      <c r="G187"/>
      <c r="H187"/>
    </row>
    <row r="188" spans="2:8" x14ac:dyDescent="0.2">
      <c r="D188" s="5" t="s">
        <v>833</v>
      </c>
      <c r="F188"/>
      <c r="G188"/>
      <c r="H188"/>
    </row>
    <row r="189" spans="2:8" x14ac:dyDescent="0.2">
      <c r="D189" s="5" t="s">
        <v>859</v>
      </c>
      <c r="F189"/>
      <c r="G189"/>
      <c r="H189"/>
    </row>
    <row r="190" spans="2:8" x14ac:dyDescent="0.2">
      <c r="D190" s="5" t="s">
        <v>839</v>
      </c>
      <c r="F190"/>
      <c r="G190"/>
      <c r="H190"/>
    </row>
    <row r="191" spans="2:8" x14ac:dyDescent="0.2">
      <c r="D191" s="5" t="s">
        <v>794</v>
      </c>
      <c r="F191"/>
      <c r="G191"/>
      <c r="H191"/>
    </row>
    <row r="192" spans="2:8" x14ac:dyDescent="0.2">
      <c r="D192" s="5" t="s">
        <v>712</v>
      </c>
      <c r="F192"/>
      <c r="G192"/>
      <c r="H192"/>
    </row>
    <row r="193" spans="2:4" x14ac:dyDescent="0.2">
      <c r="B193" s="5" t="s">
        <v>1784</v>
      </c>
    </row>
    <row r="194" spans="2:4" x14ac:dyDescent="0.2">
      <c r="D194" s="5" t="s">
        <v>882</v>
      </c>
    </row>
    <row r="195" spans="2:4" x14ac:dyDescent="0.2">
      <c r="D195" s="5" t="s">
        <v>834</v>
      </c>
    </row>
    <row r="196" spans="2:4" x14ac:dyDescent="0.2">
      <c r="D196" s="5" t="s">
        <v>865</v>
      </c>
    </row>
    <row r="197" spans="2:4" x14ac:dyDescent="0.2">
      <c r="D197" s="5" t="s">
        <v>743</v>
      </c>
    </row>
    <row r="198" spans="2:4" x14ac:dyDescent="0.2">
      <c r="D198" s="5" t="s">
        <v>744</v>
      </c>
    </row>
    <row r="199" spans="2:4" x14ac:dyDescent="0.2">
      <c r="B199" s="5" t="s">
        <v>1785</v>
      </c>
    </row>
    <row r="200" spans="2:4" x14ac:dyDescent="0.2">
      <c r="D200" s="5" t="s">
        <v>1196</v>
      </c>
    </row>
    <row r="201" spans="2:4" x14ac:dyDescent="0.2">
      <c r="D201" s="5" t="s">
        <v>897</v>
      </c>
    </row>
    <row r="202" spans="2:4" x14ac:dyDescent="0.2">
      <c r="D202" s="5" t="s">
        <v>1136</v>
      </c>
    </row>
    <row r="203" spans="2:4" x14ac:dyDescent="0.2">
      <c r="D203" s="5" t="s">
        <v>800</v>
      </c>
    </row>
    <row r="204" spans="2:4" x14ac:dyDescent="0.2">
      <c r="D204" s="5" t="s">
        <v>744</v>
      </c>
    </row>
    <row r="205" spans="2:4" x14ac:dyDescent="0.2">
      <c r="B205" s="5" t="s">
        <v>1786</v>
      </c>
    </row>
    <row r="206" spans="2:4" x14ac:dyDescent="0.2">
      <c r="D206" s="5" t="s">
        <v>1297</v>
      </c>
    </row>
    <row r="207" spans="2:4" x14ac:dyDescent="0.2">
      <c r="D207" s="5" t="s">
        <v>704</v>
      </c>
    </row>
    <row r="208" spans="2:4" x14ac:dyDescent="0.2">
      <c r="D208" s="5" t="s">
        <v>839</v>
      </c>
    </row>
    <row r="209" spans="2:8" x14ac:dyDescent="0.2">
      <c r="D209" s="5" t="s">
        <v>874</v>
      </c>
      <c r="F209"/>
      <c r="G209"/>
      <c r="H209"/>
    </row>
    <row r="210" spans="2:8" x14ac:dyDescent="0.2">
      <c r="D210" s="5" t="s">
        <v>731</v>
      </c>
      <c r="F210"/>
      <c r="G210"/>
      <c r="H210"/>
    </row>
    <row r="211" spans="2:8" x14ac:dyDescent="0.2">
      <c r="B211" s="5" t="s">
        <v>1787</v>
      </c>
      <c r="F211"/>
      <c r="G211"/>
      <c r="H211"/>
    </row>
    <row r="212" spans="2:8" x14ac:dyDescent="0.2">
      <c r="D212" s="5" t="s">
        <v>1758</v>
      </c>
      <c r="F212"/>
      <c r="G212"/>
      <c r="H212"/>
    </row>
    <row r="213" spans="2:8" x14ac:dyDescent="0.2">
      <c r="D213" s="5" t="s">
        <v>704</v>
      </c>
      <c r="F213"/>
      <c r="G213"/>
      <c r="H213"/>
    </row>
    <row r="214" spans="2:8" x14ac:dyDescent="0.2">
      <c r="D214" s="5" t="s">
        <v>1197</v>
      </c>
      <c r="F214"/>
      <c r="G214"/>
      <c r="H214"/>
    </row>
    <row r="215" spans="2:8" x14ac:dyDescent="0.2">
      <c r="D215" s="5" t="s">
        <v>1788</v>
      </c>
      <c r="F215"/>
      <c r="G215"/>
      <c r="H215"/>
    </row>
    <row r="216" spans="2:8" x14ac:dyDescent="0.2">
      <c r="E216" s="5" t="s">
        <v>1789</v>
      </c>
      <c r="F216" s="5">
        <v>3125</v>
      </c>
      <c r="G216" s="5" t="s">
        <v>19</v>
      </c>
      <c r="H216" s="5" t="s">
        <v>1927</v>
      </c>
    </row>
    <row r="217" spans="2:8" x14ac:dyDescent="0.2">
      <c r="D217" s="5" t="s">
        <v>1790</v>
      </c>
      <c r="F217"/>
      <c r="G217"/>
      <c r="H217"/>
    </row>
    <row r="218" spans="2:8" x14ac:dyDescent="0.2">
      <c r="E218" s="5" t="s">
        <v>1791</v>
      </c>
      <c r="F218" s="5">
        <v>3125</v>
      </c>
      <c r="G218" s="5" t="s">
        <v>19</v>
      </c>
      <c r="H218" s="5" t="s">
        <v>1927</v>
      </c>
    </row>
    <row r="219" spans="2:8" x14ac:dyDescent="0.2">
      <c r="B219" s="5" t="s">
        <v>1792</v>
      </c>
      <c r="F219"/>
      <c r="G219"/>
      <c r="H219"/>
    </row>
    <row r="220" spans="2:8" x14ac:dyDescent="0.2">
      <c r="D220" s="5" t="s">
        <v>703</v>
      </c>
      <c r="F220"/>
      <c r="G220"/>
      <c r="H220"/>
    </row>
    <row r="221" spans="2:8" x14ac:dyDescent="0.2">
      <c r="D221" s="5" t="s">
        <v>704</v>
      </c>
      <c r="F221"/>
      <c r="G221"/>
      <c r="H221"/>
    </row>
    <row r="222" spans="2:8" x14ac:dyDescent="0.2">
      <c r="D222" s="5" t="s">
        <v>705</v>
      </c>
      <c r="F222"/>
      <c r="G222"/>
      <c r="H222"/>
    </row>
    <row r="223" spans="2:8" x14ac:dyDescent="0.2">
      <c r="D223" s="5" t="s">
        <v>711</v>
      </c>
      <c r="F223"/>
      <c r="G223"/>
      <c r="H223"/>
    </row>
    <row r="224" spans="2:8" x14ac:dyDescent="0.2">
      <c r="D224" s="5" t="s">
        <v>712</v>
      </c>
      <c r="F224"/>
      <c r="G224"/>
      <c r="H224"/>
    </row>
    <row r="225" spans="2:4" x14ac:dyDescent="0.2">
      <c r="B225" s="5" t="s">
        <v>1793</v>
      </c>
    </row>
    <row r="226" spans="2:4" x14ac:dyDescent="0.2">
      <c r="D226" s="5" t="s">
        <v>1066</v>
      </c>
    </row>
    <row r="227" spans="2:4" x14ac:dyDescent="0.2">
      <c r="D227" s="5" t="s">
        <v>704</v>
      </c>
    </row>
    <row r="228" spans="2:4" x14ac:dyDescent="0.2">
      <c r="D228" s="5" t="s">
        <v>1794</v>
      </c>
    </row>
    <row r="229" spans="2:4" x14ac:dyDescent="0.2">
      <c r="D229" s="5" t="s">
        <v>1795</v>
      </c>
    </row>
    <row r="230" spans="2:4" x14ac:dyDescent="0.2">
      <c r="D230" s="5" t="s">
        <v>1633</v>
      </c>
    </row>
    <row r="231" spans="2:4" x14ac:dyDescent="0.2">
      <c r="B231" s="5" t="s">
        <v>1796</v>
      </c>
    </row>
    <row r="232" spans="2:4" x14ac:dyDescent="0.2">
      <c r="D232" s="5" t="s">
        <v>703</v>
      </c>
    </row>
    <row r="233" spans="2:4" x14ac:dyDescent="0.2">
      <c r="D233" s="5" t="s">
        <v>704</v>
      </c>
    </row>
    <row r="234" spans="2:4" x14ac:dyDescent="0.2">
      <c r="D234" s="5" t="s">
        <v>705</v>
      </c>
    </row>
    <row r="235" spans="2:4" x14ac:dyDescent="0.2">
      <c r="D235" s="5" t="s">
        <v>711</v>
      </c>
    </row>
    <row r="236" spans="2:4" x14ac:dyDescent="0.2">
      <c r="D236" s="5" t="s">
        <v>712</v>
      </c>
    </row>
    <row r="237" spans="2:4" x14ac:dyDescent="0.2">
      <c r="B237" s="5" t="s">
        <v>1797</v>
      </c>
    </row>
    <row r="238" spans="2:4" x14ac:dyDescent="0.2">
      <c r="D238" s="5" t="s">
        <v>1066</v>
      </c>
    </row>
    <row r="239" spans="2:4" x14ac:dyDescent="0.2">
      <c r="D239" s="5" t="s">
        <v>704</v>
      </c>
    </row>
    <row r="240" spans="2:4" x14ac:dyDescent="0.2">
      <c r="D240" s="5" t="s">
        <v>1794</v>
      </c>
    </row>
    <row r="241" spans="2:8" x14ac:dyDescent="0.2">
      <c r="D241" s="5" t="s">
        <v>1798</v>
      </c>
      <c r="F241"/>
      <c r="G241"/>
      <c r="H241"/>
    </row>
    <row r="242" spans="2:8" x14ac:dyDescent="0.2">
      <c r="E242" s="5" t="s">
        <v>1799</v>
      </c>
      <c r="F242" s="5">
        <v>3507</v>
      </c>
      <c r="G242" s="5" t="s">
        <v>19</v>
      </c>
      <c r="H242" s="5" t="s">
        <v>1927</v>
      </c>
    </row>
    <row r="243" spans="2:8" x14ac:dyDescent="0.2">
      <c r="D243" s="5" t="s">
        <v>1800</v>
      </c>
      <c r="F243"/>
      <c r="G243"/>
      <c r="H243"/>
    </row>
    <row r="244" spans="2:8" x14ac:dyDescent="0.2">
      <c r="E244" s="5" t="s">
        <v>1801</v>
      </c>
      <c r="F244" s="5">
        <v>3507</v>
      </c>
      <c r="G244" s="5" t="s">
        <v>19</v>
      </c>
      <c r="H244" s="5" t="s">
        <v>1927</v>
      </c>
    </row>
    <row r="245" spans="2:8" x14ac:dyDescent="0.2">
      <c r="B245" s="5" t="s">
        <v>1802</v>
      </c>
      <c r="F245"/>
      <c r="G245"/>
      <c r="H245"/>
    </row>
    <row r="246" spans="2:8" x14ac:dyDescent="0.2">
      <c r="D246" s="5" t="s">
        <v>703</v>
      </c>
      <c r="F246"/>
      <c r="G246"/>
      <c r="H246"/>
    </row>
    <row r="247" spans="2:8" x14ac:dyDescent="0.2">
      <c r="D247" s="5" t="s">
        <v>704</v>
      </c>
      <c r="F247"/>
      <c r="G247"/>
      <c r="H247"/>
    </row>
    <row r="248" spans="2:8" x14ac:dyDescent="0.2">
      <c r="D248" s="5" t="s">
        <v>705</v>
      </c>
      <c r="F248"/>
      <c r="G248"/>
      <c r="H248"/>
    </row>
    <row r="249" spans="2:8" x14ac:dyDescent="0.2">
      <c r="D249" s="5" t="s">
        <v>711</v>
      </c>
      <c r="F249"/>
      <c r="G249"/>
      <c r="H249"/>
    </row>
    <row r="250" spans="2:8" x14ac:dyDescent="0.2">
      <c r="D250" s="5" t="s">
        <v>712</v>
      </c>
      <c r="F250"/>
      <c r="G250"/>
      <c r="H250"/>
    </row>
    <row r="251" spans="2:8" x14ac:dyDescent="0.2">
      <c r="B251" s="5" t="s">
        <v>1803</v>
      </c>
      <c r="F251"/>
      <c r="G251"/>
      <c r="H251"/>
    </row>
    <row r="252" spans="2:8" x14ac:dyDescent="0.2">
      <c r="D252" s="5" t="s">
        <v>1118</v>
      </c>
      <c r="F252"/>
      <c r="G252"/>
      <c r="H252"/>
    </row>
    <row r="253" spans="2:8" x14ac:dyDescent="0.2">
      <c r="D253" s="5" t="s">
        <v>704</v>
      </c>
      <c r="F253"/>
      <c r="G253"/>
      <c r="H253"/>
    </row>
    <row r="254" spans="2:8" x14ac:dyDescent="0.2">
      <c r="D254" s="5" t="s">
        <v>1136</v>
      </c>
      <c r="F254"/>
      <c r="G254"/>
      <c r="H254"/>
    </row>
    <row r="255" spans="2:8" x14ac:dyDescent="0.2">
      <c r="D255" s="5" t="s">
        <v>871</v>
      </c>
      <c r="F255"/>
      <c r="G255"/>
      <c r="H255"/>
    </row>
    <row r="256" spans="2:8" x14ac:dyDescent="0.2">
      <c r="D256" s="5" t="s">
        <v>748</v>
      </c>
      <c r="F256"/>
      <c r="G256"/>
      <c r="H256"/>
    </row>
    <row r="257" spans="2:4" x14ac:dyDescent="0.2">
      <c r="B257" s="5" t="s">
        <v>1804</v>
      </c>
    </row>
    <row r="258" spans="2:4" x14ac:dyDescent="0.2">
      <c r="D258" s="5" t="s">
        <v>703</v>
      </c>
    </row>
    <row r="259" spans="2:4" x14ac:dyDescent="0.2">
      <c r="D259" s="5" t="s">
        <v>704</v>
      </c>
    </row>
    <row r="260" spans="2:4" x14ac:dyDescent="0.2">
      <c r="D260" s="5" t="s">
        <v>705</v>
      </c>
    </row>
    <row r="261" spans="2:4" x14ac:dyDescent="0.2">
      <c r="D261" s="5" t="s">
        <v>711</v>
      </c>
    </row>
    <row r="262" spans="2:4" x14ac:dyDescent="0.2">
      <c r="D262" s="5" t="s">
        <v>712</v>
      </c>
    </row>
    <row r="263" spans="2:4" x14ac:dyDescent="0.2">
      <c r="B263" s="5" t="s">
        <v>1805</v>
      </c>
    </row>
    <row r="264" spans="2:4" x14ac:dyDescent="0.2">
      <c r="D264" s="5" t="s">
        <v>703</v>
      </c>
    </row>
    <row r="265" spans="2:4" x14ac:dyDescent="0.2">
      <c r="D265" s="5" t="s">
        <v>704</v>
      </c>
    </row>
    <row r="266" spans="2:4" x14ac:dyDescent="0.2">
      <c r="D266" s="5" t="s">
        <v>705</v>
      </c>
    </row>
    <row r="267" spans="2:4" x14ac:dyDescent="0.2">
      <c r="D267" s="5" t="s">
        <v>711</v>
      </c>
    </row>
    <row r="268" spans="2:4" x14ac:dyDescent="0.2">
      <c r="D268" s="5" t="s">
        <v>712</v>
      </c>
    </row>
    <row r="269" spans="2:4" x14ac:dyDescent="0.2">
      <c r="B269" s="5" t="s">
        <v>1806</v>
      </c>
    </row>
    <row r="270" spans="2:4" x14ac:dyDescent="0.2">
      <c r="D270" s="5" t="s">
        <v>1807</v>
      </c>
    </row>
    <row r="271" spans="2:4" x14ac:dyDescent="0.2">
      <c r="D271" s="5" t="s">
        <v>704</v>
      </c>
    </row>
    <row r="272" spans="2:4" x14ac:dyDescent="0.2">
      <c r="D272" s="5" t="s">
        <v>1067</v>
      </c>
    </row>
    <row r="273" spans="2:8" x14ac:dyDescent="0.2">
      <c r="D273" s="5" t="s">
        <v>1808</v>
      </c>
      <c r="F273"/>
      <c r="G273"/>
      <c r="H273"/>
    </row>
    <row r="274" spans="2:8" x14ac:dyDescent="0.2">
      <c r="E274" s="5" t="s">
        <v>1809</v>
      </c>
      <c r="F274" s="5">
        <v>3879</v>
      </c>
      <c r="G274" s="5" t="s">
        <v>19</v>
      </c>
      <c r="H274" s="5" t="s">
        <v>1927</v>
      </c>
    </row>
    <row r="275" spans="2:8" x14ac:dyDescent="0.2">
      <c r="E275" s="5" t="s">
        <v>1810</v>
      </c>
      <c r="F275" s="5">
        <v>3903</v>
      </c>
      <c r="G275" s="5" t="s">
        <v>19</v>
      </c>
      <c r="H275" s="5" t="s">
        <v>1927</v>
      </c>
    </row>
    <row r="276" spans="2:8" x14ac:dyDescent="0.2">
      <c r="E276" s="5" t="s">
        <v>1811</v>
      </c>
      <c r="F276" s="5">
        <v>4005</v>
      </c>
      <c r="G276" s="5" t="s">
        <v>19</v>
      </c>
      <c r="H276" s="5" t="s">
        <v>1927</v>
      </c>
    </row>
    <row r="277" spans="2:8" x14ac:dyDescent="0.2">
      <c r="E277" s="5" t="s">
        <v>1812</v>
      </c>
      <c r="F277" s="5">
        <v>4050</v>
      </c>
      <c r="G277" s="5" t="s">
        <v>19</v>
      </c>
      <c r="H277" s="5" t="s">
        <v>1927</v>
      </c>
    </row>
    <row r="278" spans="2:8" x14ac:dyDescent="0.2">
      <c r="D278" s="5" t="s">
        <v>1813</v>
      </c>
      <c r="F278"/>
      <c r="G278"/>
      <c r="H278"/>
    </row>
    <row r="279" spans="2:8" x14ac:dyDescent="0.2">
      <c r="E279" s="5" t="s">
        <v>1814</v>
      </c>
      <c r="F279" s="5">
        <v>3879</v>
      </c>
      <c r="G279" s="5" t="s">
        <v>19</v>
      </c>
      <c r="H279" s="5" t="s">
        <v>1927</v>
      </c>
    </row>
    <row r="280" spans="2:8" x14ac:dyDescent="0.2">
      <c r="E280" s="5" t="s">
        <v>1815</v>
      </c>
      <c r="F280" s="5">
        <v>3903</v>
      </c>
      <c r="G280" s="5" t="s">
        <v>19</v>
      </c>
      <c r="H280" s="5" t="s">
        <v>1927</v>
      </c>
    </row>
    <row r="281" spans="2:8" x14ac:dyDescent="0.2">
      <c r="E281" s="5" t="s">
        <v>1816</v>
      </c>
      <c r="F281" s="5">
        <v>4005</v>
      </c>
      <c r="G281" s="5" t="s">
        <v>19</v>
      </c>
      <c r="H281" s="5" t="s">
        <v>1927</v>
      </c>
    </row>
    <row r="282" spans="2:8" x14ac:dyDescent="0.2">
      <c r="E282" s="5" t="s">
        <v>1817</v>
      </c>
      <c r="F282" s="5">
        <v>4050</v>
      </c>
      <c r="G282" s="5" t="s">
        <v>19</v>
      </c>
      <c r="H282" s="5" t="s">
        <v>1927</v>
      </c>
    </row>
    <row r="283" spans="2:8" x14ac:dyDescent="0.2">
      <c r="B283" s="5" t="s">
        <v>1818</v>
      </c>
      <c r="F283"/>
      <c r="G283"/>
      <c r="H283"/>
    </row>
    <row r="284" spans="2:8" x14ac:dyDescent="0.2">
      <c r="D284" s="5" t="s">
        <v>1297</v>
      </c>
      <c r="F284"/>
      <c r="G284"/>
      <c r="H284"/>
    </row>
    <row r="285" spans="2:8" x14ac:dyDescent="0.2">
      <c r="D285" s="5" t="s">
        <v>704</v>
      </c>
      <c r="F285"/>
      <c r="G285"/>
      <c r="H285"/>
    </row>
    <row r="286" spans="2:8" x14ac:dyDescent="0.2">
      <c r="D286" s="5" t="s">
        <v>839</v>
      </c>
      <c r="F286"/>
      <c r="G286"/>
      <c r="H286"/>
    </row>
    <row r="287" spans="2:8" x14ac:dyDescent="0.2">
      <c r="D287" s="5" t="s">
        <v>874</v>
      </c>
      <c r="F287"/>
      <c r="G287"/>
      <c r="H287"/>
    </row>
    <row r="288" spans="2:8" x14ac:dyDescent="0.2">
      <c r="D288" s="5" t="s">
        <v>731</v>
      </c>
      <c r="F288"/>
      <c r="G288"/>
      <c r="H288"/>
    </row>
    <row r="289" spans="2:4" x14ac:dyDescent="0.2">
      <c r="B289" s="5" t="s">
        <v>1819</v>
      </c>
    </row>
    <row r="290" spans="2:4" x14ac:dyDescent="0.2">
      <c r="D290" s="5" t="s">
        <v>1118</v>
      </c>
    </row>
    <row r="291" spans="2:4" x14ac:dyDescent="0.2">
      <c r="D291" s="5" t="s">
        <v>704</v>
      </c>
    </row>
    <row r="292" spans="2:4" x14ac:dyDescent="0.2">
      <c r="D292" s="5" t="s">
        <v>1136</v>
      </c>
    </row>
    <row r="293" spans="2:4" x14ac:dyDescent="0.2">
      <c r="D293" s="5" t="s">
        <v>1133</v>
      </c>
    </row>
    <row r="294" spans="2:4" x14ac:dyDescent="0.2">
      <c r="D294" s="5" t="s">
        <v>761</v>
      </c>
    </row>
    <row r="295" spans="2:4" x14ac:dyDescent="0.2">
      <c r="B295" s="5" t="s">
        <v>1820</v>
      </c>
    </row>
    <row r="296" spans="2:4" x14ac:dyDescent="0.2">
      <c r="D296" s="5" t="s">
        <v>703</v>
      </c>
    </row>
    <row r="297" spans="2:4" x14ac:dyDescent="0.2">
      <c r="D297" s="5" t="s">
        <v>704</v>
      </c>
    </row>
    <row r="298" spans="2:4" x14ac:dyDescent="0.2">
      <c r="D298" s="5" t="s">
        <v>705</v>
      </c>
    </row>
    <row r="299" spans="2:4" x14ac:dyDescent="0.2">
      <c r="D299" s="5" t="s">
        <v>711</v>
      </c>
    </row>
    <row r="300" spans="2:4" x14ac:dyDescent="0.2">
      <c r="D300" s="5" t="s">
        <v>712</v>
      </c>
    </row>
    <row r="301" spans="2:4" x14ac:dyDescent="0.2">
      <c r="B301" s="5" t="s">
        <v>1821</v>
      </c>
    </row>
    <row r="302" spans="2:4" x14ac:dyDescent="0.2">
      <c r="D302" s="5" t="s">
        <v>1758</v>
      </c>
    </row>
    <row r="303" spans="2:4" x14ac:dyDescent="0.2">
      <c r="D303" s="5" t="s">
        <v>704</v>
      </c>
    </row>
    <row r="304" spans="2:4" x14ac:dyDescent="0.2">
      <c r="D304" s="5" t="s">
        <v>1197</v>
      </c>
    </row>
    <row r="305" spans="2:8" x14ac:dyDescent="0.2">
      <c r="D305" s="5" t="s">
        <v>733</v>
      </c>
      <c r="F305"/>
      <c r="G305"/>
      <c r="H305"/>
    </row>
    <row r="306" spans="2:8" x14ac:dyDescent="0.2">
      <c r="D306" s="5" t="s">
        <v>1182</v>
      </c>
      <c r="F306"/>
      <c r="G306"/>
      <c r="H306"/>
    </row>
    <row r="307" spans="2:8" x14ac:dyDescent="0.2">
      <c r="B307" s="5" t="s">
        <v>1822</v>
      </c>
      <c r="F307"/>
      <c r="G307"/>
      <c r="H307"/>
    </row>
    <row r="308" spans="2:8" x14ac:dyDescent="0.2">
      <c r="D308" s="5" t="s">
        <v>703</v>
      </c>
      <c r="F308"/>
      <c r="G308"/>
      <c r="H308"/>
    </row>
    <row r="309" spans="2:8" x14ac:dyDescent="0.2">
      <c r="D309" s="5" t="s">
        <v>704</v>
      </c>
      <c r="F309"/>
      <c r="G309"/>
      <c r="H309"/>
    </row>
    <row r="310" spans="2:8" x14ac:dyDescent="0.2">
      <c r="D310" s="5" t="s">
        <v>705</v>
      </c>
      <c r="F310"/>
      <c r="G310"/>
      <c r="H310"/>
    </row>
    <row r="311" spans="2:8" x14ac:dyDescent="0.2">
      <c r="D311" s="5" t="s">
        <v>711</v>
      </c>
      <c r="F311"/>
      <c r="G311"/>
      <c r="H311"/>
    </row>
    <row r="312" spans="2:8" x14ac:dyDescent="0.2">
      <c r="D312" s="5" t="s">
        <v>712</v>
      </c>
      <c r="F312"/>
      <c r="G312"/>
      <c r="H312"/>
    </row>
    <row r="313" spans="2:8" x14ac:dyDescent="0.2">
      <c r="B313" s="5" t="s">
        <v>1823</v>
      </c>
      <c r="F313"/>
      <c r="G313"/>
      <c r="H313"/>
    </row>
    <row r="314" spans="2:8" x14ac:dyDescent="0.2">
      <c r="D314" s="5" t="s">
        <v>1807</v>
      </c>
      <c r="F314"/>
      <c r="G314"/>
      <c r="H314"/>
    </row>
    <row r="315" spans="2:8" x14ac:dyDescent="0.2">
      <c r="D315" s="5" t="s">
        <v>704</v>
      </c>
      <c r="F315"/>
      <c r="G315"/>
      <c r="H315"/>
    </row>
    <row r="316" spans="2:8" x14ac:dyDescent="0.2">
      <c r="D316" s="5" t="s">
        <v>1067</v>
      </c>
      <c r="F316"/>
      <c r="G316"/>
      <c r="H316"/>
    </row>
    <row r="317" spans="2:8" x14ac:dyDescent="0.2">
      <c r="D317" s="5" t="s">
        <v>1808</v>
      </c>
      <c r="F317"/>
      <c r="G317"/>
      <c r="H317"/>
    </row>
    <row r="318" spans="2:8" x14ac:dyDescent="0.2">
      <c r="E318" s="5" t="s">
        <v>1824</v>
      </c>
      <c r="F318" s="5">
        <v>4596</v>
      </c>
      <c r="G318" s="5" t="s">
        <v>19</v>
      </c>
      <c r="H318" s="5" t="s">
        <v>1927</v>
      </c>
    </row>
    <row r="319" spans="2:8" x14ac:dyDescent="0.2">
      <c r="E319" s="5" t="s">
        <v>1825</v>
      </c>
      <c r="F319" s="5">
        <v>4613</v>
      </c>
      <c r="G319" s="5" t="s">
        <v>19</v>
      </c>
      <c r="H319" s="5" t="s">
        <v>1927</v>
      </c>
    </row>
    <row r="320" spans="2:8" x14ac:dyDescent="0.2">
      <c r="E320" s="5" t="s">
        <v>1826</v>
      </c>
      <c r="F320" s="5">
        <v>4712</v>
      </c>
      <c r="G320" s="5" t="s">
        <v>19</v>
      </c>
      <c r="H320" s="5" t="s">
        <v>1927</v>
      </c>
    </row>
    <row r="321" spans="2:8" x14ac:dyDescent="0.2">
      <c r="E321" s="5" t="s">
        <v>1827</v>
      </c>
      <c r="F321" s="5">
        <v>4736</v>
      </c>
      <c r="G321" s="5" t="s">
        <v>19</v>
      </c>
      <c r="H321" s="5" t="s">
        <v>1927</v>
      </c>
    </row>
    <row r="322" spans="2:8" x14ac:dyDescent="0.2">
      <c r="D322" s="5" t="s">
        <v>1813</v>
      </c>
      <c r="F322"/>
      <c r="G322"/>
      <c r="H322"/>
    </row>
    <row r="323" spans="2:8" x14ac:dyDescent="0.2">
      <c r="E323" s="5" t="s">
        <v>1828</v>
      </c>
      <c r="F323" s="5">
        <v>4596</v>
      </c>
      <c r="G323" s="5" t="s">
        <v>19</v>
      </c>
      <c r="H323" s="5" t="s">
        <v>1927</v>
      </c>
    </row>
    <row r="324" spans="2:8" x14ac:dyDescent="0.2">
      <c r="E324" s="5" t="s">
        <v>1829</v>
      </c>
      <c r="F324" s="5">
        <v>4613</v>
      </c>
      <c r="G324" s="5" t="s">
        <v>19</v>
      </c>
      <c r="H324" s="5" t="s">
        <v>1927</v>
      </c>
    </row>
    <row r="325" spans="2:8" x14ac:dyDescent="0.2">
      <c r="E325" s="5" t="s">
        <v>1830</v>
      </c>
      <c r="F325" s="5">
        <v>4712</v>
      </c>
      <c r="G325" s="5" t="s">
        <v>19</v>
      </c>
      <c r="H325" s="5" t="s">
        <v>1927</v>
      </c>
    </row>
    <row r="326" spans="2:8" x14ac:dyDescent="0.2">
      <c r="E326" s="5" t="s">
        <v>1831</v>
      </c>
      <c r="F326" s="5">
        <v>4736</v>
      </c>
      <c r="G326" s="5" t="s">
        <v>19</v>
      </c>
      <c r="H326" s="5" t="s">
        <v>1927</v>
      </c>
    </row>
    <row r="327" spans="2:8" x14ac:dyDescent="0.2">
      <c r="B327" s="5" t="s">
        <v>1832</v>
      </c>
      <c r="F327"/>
      <c r="G327"/>
      <c r="H327"/>
    </row>
    <row r="328" spans="2:8" x14ac:dyDescent="0.2">
      <c r="D328" s="5" t="s">
        <v>703</v>
      </c>
      <c r="F328"/>
      <c r="G328"/>
      <c r="H328"/>
    </row>
    <row r="329" spans="2:8" x14ac:dyDescent="0.2">
      <c r="D329" s="5" t="s">
        <v>704</v>
      </c>
      <c r="F329"/>
      <c r="G329"/>
      <c r="H329"/>
    </row>
    <row r="330" spans="2:8" x14ac:dyDescent="0.2">
      <c r="D330" s="5" t="s">
        <v>705</v>
      </c>
      <c r="F330"/>
      <c r="G330"/>
      <c r="H330"/>
    </row>
    <row r="331" spans="2:8" x14ac:dyDescent="0.2">
      <c r="D331" s="5" t="s">
        <v>711</v>
      </c>
      <c r="F331"/>
      <c r="G331"/>
      <c r="H331"/>
    </row>
    <row r="332" spans="2:8" x14ac:dyDescent="0.2">
      <c r="D332" s="5" t="s">
        <v>712</v>
      </c>
      <c r="F332"/>
      <c r="G332"/>
      <c r="H332"/>
    </row>
    <row r="333" spans="2:8" x14ac:dyDescent="0.2">
      <c r="B333" s="5" t="s">
        <v>1833</v>
      </c>
      <c r="F333"/>
      <c r="G333"/>
      <c r="H333"/>
    </row>
    <row r="334" spans="2:8" x14ac:dyDescent="0.2">
      <c r="D334" s="5" t="s">
        <v>1834</v>
      </c>
      <c r="F334"/>
      <c r="G334"/>
      <c r="H334"/>
    </row>
    <row r="335" spans="2:8" x14ac:dyDescent="0.2">
      <c r="D335" s="5" t="s">
        <v>704</v>
      </c>
      <c r="F335"/>
      <c r="G335"/>
      <c r="H335"/>
    </row>
    <row r="336" spans="2:8" x14ac:dyDescent="0.2">
      <c r="D336" s="5" t="s">
        <v>1112</v>
      </c>
      <c r="F336"/>
      <c r="G336"/>
      <c r="H336"/>
    </row>
    <row r="337" spans="2:8" x14ac:dyDescent="0.2">
      <c r="D337" s="5" t="s">
        <v>1835</v>
      </c>
      <c r="F337"/>
      <c r="G337"/>
      <c r="H337"/>
    </row>
    <row r="338" spans="2:8" x14ac:dyDescent="0.2">
      <c r="E338" s="5" t="s">
        <v>1836</v>
      </c>
      <c r="F338" s="5">
        <v>4986</v>
      </c>
      <c r="G338" s="5" t="s">
        <v>19</v>
      </c>
      <c r="H338" s="5" t="s">
        <v>1927</v>
      </c>
    </row>
    <row r="339" spans="2:8" x14ac:dyDescent="0.2">
      <c r="D339" s="5" t="s">
        <v>1800</v>
      </c>
      <c r="F339"/>
      <c r="G339"/>
      <c r="H339"/>
    </row>
    <row r="340" spans="2:8" x14ac:dyDescent="0.2">
      <c r="E340" s="5" t="s">
        <v>1837</v>
      </c>
      <c r="F340" s="5">
        <v>4986</v>
      </c>
      <c r="G340" s="5" t="s">
        <v>19</v>
      </c>
      <c r="H340" s="5" t="s">
        <v>1927</v>
      </c>
    </row>
    <row r="341" spans="2:8" x14ac:dyDescent="0.2">
      <c r="B341" s="5" t="s">
        <v>1838</v>
      </c>
      <c r="F341"/>
      <c r="G341"/>
      <c r="H341"/>
    </row>
    <row r="342" spans="2:8" x14ac:dyDescent="0.2">
      <c r="D342" s="5" t="s">
        <v>703</v>
      </c>
      <c r="F342"/>
      <c r="G342"/>
      <c r="H342"/>
    </row>
    <row r="343" spans="2:8" x14ac:dyDescent="0.2">
      <c r="D343" s="5" t="s">
        <v>704</v>
      </c>
      <c r="F343"/>
      <c r="G343"/>
      <c r="H343"/>
    </row>
    <row r="344" spans="2:8" x14ac:dyDescent="0.2">
      <c r="D344" s="5" t="s">
        <v>705</v>
      </c>
      <c r="F344"/>
      <c r="G344"/>
      <c r="H344"/>
    </row>
    <row r="345" spans="2:8" x14ac:dyDescent="0.2">
      <c r="D345" s="5" t="s">
        <v>711</v>
      </c>
      <c r="F345"/>
      <c r="G345"/>
      <c r="H345"/>
    </row>
    <row r="346" spans="2:8" x14ac:dyDescent="0.2">
      <c r="D346" s="5" t="s">
        <v>712</v>
      </c>
      <c r="F346"/>
      <c r="G346"/>
      <c r="H346"/>
    </row>
    <row r="347" spans="2:8" x14ac:dyDescent="0.2">
      <c r="B347" s="5" t="s">
        <v>1839</v>
      </c>
      <c r="F347"/>
      <c r="G347"/>
      <c r="H347"/>
    </row>
    <row r="348" spans="2:8" x14ac:dyDescent="0.2">
      <c r="D348" s="5" t="s">
        <v>1834</v>
      </c>
      <c r="F348"/>
      <c r="G348"/>
      <c r="H348"/>
    </row>
    <row r="349" spans="2:8" x14ac:dyDescent="0.2">
      <c r="D349" s="5" t="s">
        <v>704</v>
      </c>
      <c r="F349"/>
      <c r="G349"/>
      <c r="H349"/>
    </row>
    <row r="350" spans="2:8" x14ac:dyDescent="0.2">
      <c r="D350" s="5" t="s">
        <v>1112</v>
      </c>
      <c r="F350"/>
      <c r="G350"/>
      <c r="H350"/>
    </row>
    <row r="351" spans="2:8" x14ac:dyDescent="0.2">
      <c r="D351" s="5" t="s">
        <v>1840</v>
      </c>
      <c r="F351"/>
      <c r="G351"/>
      <c r="H351"/>
    </row>
    <row r="352" spans="2:8" x14ac:dyDescent="0.2">
      <c r="E352" s="5" t="s">
        <v>1841</v>
      </c>
      <c r="F352" s="5">
        <v>5191</v>
      </c>
      <c r="G352" s="5" t="s">
        <v>19</v>
      </c>
      <c r="H352" s="5" t="s">
        <v>1927</v>
      </c>
    </row>
    <row r="353" spans="2:8" x14ac:dyDescent="0.2">
      <c r="D353" s="5" t="s">
        <v>1842</v>
      </c>
      <c r="F353"/>
      <c r="G353"/>
      <c r="H353"/>
    </row>
    <row r="354" spans="2:8" x14ac:dyDescent="0.2">
      <c r="E354" s="5" t="s">
        <v>1843</v>
      </c>
      <c r="F354" s="5">
        <v>5191</v>
      </c>
      <c r="G354" s="5" t="s">
        <v>19</v>
      </c>
      <c r="H354" s="5" t="s">
        <v>1927</v>
      </c>
    </row>
    <row r="355" spans="2:8" x14ac:dyDescent="0.2">
      <c r="B355" s="5" t="s">
        <v>1844</v>
      </c>
      <c r="F355"/>
      <c r="G355"/>
      <c r="H355"/>
    </row>
    <row r="356" spans="2:8" x14ac:dyDescent="0.2">
      <c r="D356" s="5" t="s">
        <v>1000</v>
      </c>
      <c r="F356"/>
      <c r="G356"/>
      <c r="H356"/>
    </row>
    <row r="357" spans="2:8" x14ac:dyDescent="0.2">
      <c r="D357" s="5" t="s">
        <v>859</v>
      </c>
      <c r="F357"/>
      <c r="G357"/>
      <c r="H357"/>
    </row>
    <row r="358" spans="2:8" x14ac:dyDescent="0.2">
      <c r="D358" s="5" t="s">
        <v>883</v>
      </c>
      <c r="F358"/>
      <c r="G358"/>
      <c r="H358"/>
    </row>
    <row r="359" spans="2:8" x14ac:dyDescent="0.2">
      <c r="D359" s="5" t="s">
        <v>706</v>
      </c>
      <c r="F359"/>
      <c r="G359"/>
      <c r="H359"/>
    </row>
    <row r="360" spans="2:8" x14ac:dyDescent="0.2">
      <c r="D360" s="5" t="s">
        <v>707</v>
      </c>
      <c r="F360"/>
      <c r="G360"/>
      <c r="H360"/>
    </row>
    <row r="361" spans="2:8" x14ac:dyDescent="0.2">
      <c r="B361" s="5" t="s">
        <v>1845</v>
      </c>
      <c r="F361"/>
      <c r="G361"/>
      <c r="H361"/>
    </row>
    <row r="362" spans="2:8" x14ac:dyDescent="0.2">
      <c r="D362" s="5" t="s">
        <v>1000</v>
      </c>
      <c r="F362"/>
      <c r="G362"/>
      <c r="H362"/>
    </row>
    <row r="363" spans="2:8" x14ac:dyDescent="0.2">
      <c r="D363" s="5" t="s">
        <v>859</v>
      </c>
      <c r="F363"/>
      <c r="G363"/>
      <c r="H363"/>
    </row>
    <row r="364" spans="2:8" x14ac:dyDescent="0.2">
      <c r="D364" s="5" t="s">
        <v>883</v>
      </c>
      <c r="F364"/>
      <c r="G364"/>
      <c r="H364"/>
    </row>
    <row r="365" spans="2:8" x14ac:dyDescent="0.2">
      <c r="D365" s="5" t="s">
        <v>706</v>
      </c>
      <c r="F365"/>
      <c r="G365"/>
      <c r="H365"/>
    </row>
    <row r="366" spans="2:8" x14ac:dyDescent="0.2">
      <c r="D366" s="5" t="s">
        <v>707</v>
      </c>
      <c r="F366"/>
      <c r="G366"/>
      <c r="H366"/>
    </row>
    <row r="367" spans="2:8" x14ac:dyDescent="0.2">
      <c r="B367" s="5" t="s">
        <v>1846</v>
      </c>
      <c r="F367"/>
      <c r="G367"/>
      <c r="H367"/>
    </row>
    <row r="368" spans="2:8" x14ac:dyDescent="0.2">
      <c r="D368" s="5" t="s">
        <v>1000</v>
      </c>
      <c r="F368"/>
      <c r="G368"/>
      <c r="H368"/>
    </row>
    <row r="369" spans="2:4" x14ac:dyDescent="0.2">
      <c r="D369" s="5" t="s">
        <v>859</v>
      </c>
    </row>
    <row r="370" spans="2:4" x14ac:dyDescent="0.2">
      <c r="D370" s="5" t="s">
        <v>883</v>
      </c>
    </row>
    <row r="371" spans="2:4" x14ac:dyDescent="0.2">
      <c r="D371" s="5" t="s">
        <v>706</v>
      </c>
    </row>
    <row r="372" spans="2:4" x14ac:dyDescent="0.2">
      <c r="D372" s="5" t="s">
        <v>707</v>
      </c>
    </row>
    <row r="373" spans="2:4" x14ac:dyDescent="0.2">
      <c r="B373" s="5" t="s">
        <v>1847</v>
      </c>
    </row>
    <row r="374" spans="2:4" x14ac:dyDescent="0.2">
      <c r="D374" s="5" t="s">
        <v>1000</v>
      </c>
    </row>
    <row r="375" spans="2:4" x14ac:dyDescent="0.2">
      <c r="D375" s="5" t="s">
        <v>859</v>
      </c>
    </row>
    <row r="376" spans="2:4" x14ac:dyDescent="0.2">
      <c r="D376" s="5" t="s">
        <v>883</v>
      </c>
    </row>
    <row r="377" spans="2:4" x14ac:dyDescent="0.2">
      <c r="D377" s="5" t="s">
        <v>706</v>
      </c>
    </row>
    <row r="378" spans="2:4" x14ac:dyDescent="0.2">
      <c r="D378" s="5" t="s">
        <v>707</v>
      </c>
    </row>
    <row r="379" spans="2:4" x14ac:dyDescent="0.2">
      <c r="B379" s="5" t="s">
        <v>1848</v>
      </c>
    </row>
    <row r="380" spans="2:4" x14ac:dyDescent="0.2">
      <c r="D380" s="5" t="s">
        <v>1000</v>
      </c>
    </row>
    <row r="381" spans="2:4" x14ac:dyDescent="0.2">
      <c r="D381" s="5" t="s">
        <v>859</v>
      </c>
    </row>
    <row r="382" spans="2:4" x14ac:dyDescent="0.2">
      <c r="D382" s="5" t="s">
        <v>883</v>
      </c>
    </row>
    <row r="383" spans="2:4" x14ac:dyDescent="0.2">
      <c r="D383" s="5" t="s">
        <v>706</v>
      </c>
    </row>
    <row r="384" spans="2:4" x14ac:dyDescent="0.2">
      <c r="D384" s="5" t="s">
        <v>707</v>
      </c>
    </row>
    <row r="385" spans="2:4" x14ac:dyDescent="0.2">
      <c r="B385" s="5" t="s">
        <v>1849</v>
      </c>
    </row>
    <row r="386" spans="2:4" x14ac:dyDescent="0.2">
      <c r="D386" s="5" t="s">
        <v>1000</v>
      </c>
    </row>
    <row r="387" spans="2:4" x14ac:dyDescent="0.2">
      <c r="D387" s="5" t="s">
        <v>859</v>
      </c>
    </row>
    <row r="388" spans="2:4" x14ac:dyDescent="0.2">
      <c r="D388" s="5" t="s">
        <v>883</v>
      </c>
    </row>
    <row r="389" spans="2:4" x14ac:dyDescent="0.2">
      <c r="D389" s="5" t="s">
        <v>706</v>
      </c>
    </row>
    <row r="390" spans="2:4" x14ac:dyDescent="0.2">
      <c r="D390" s="5" t="s">
        <v>707</v>
      </c>
    </row>
    <row r="391" spans="2:4" x14ac:dyDescent="0.2">
      <c r="B391" s="5" t="s">
        <v>1850</v>
      </c>
    </row>
    <row r="392" spans="2:4" x14ac:dyDescent="0.2">
      <c r="D392" s="5" t="s">
        <v>1000</v>
      </c>
    </row>
    <row r="393" spans="2:4" x14ac:dyDescent="0.2">
      <c r="D393" s="5" t="s">
        <v>859</v>
      </c>
    </row>
    <row r="394" spans="2:4" x14ac:dyDescent="0.2">
      <c r="D394" s="5" t="s">
        <v>883</v>
      </c>
    </row>
    <row r="395" spans="2:4" x14ac:dyDescent="0.2">
      <c r="D395" s="5" t="s">
        <v>706</v>
      </c>
    </row>
    <row r="396" spans="2:4" x14ac:dyDescent="0.2">
      <c r="D396" s="5" t="s">
        <v>707</v>
      </c>
    </row>
    <row r="397" spans="2:4" x14ac:dyDescent="0.2">
      <c r="B397" s="5" t="s">
        <v>1851</v>
      </c>
    </row>
    <row r="398" spans="2:4" x14ac:dyDescent="0.2">
      <c r="D398" s="5" t="s">
        <v>1000</v>
      </c>
    </row>
    <row r="399" spans="2:4" x14ac:dyDescent="0.2">
      <c r="D399" s="5" t="s">
        <v>859</v>
      </c>
    </row>
    <row r="400" spans="2:4" x14ac:dyDescent="0.2">
      <c r="D400" s="5" t="s">
        <v>883</v>
      </c>
    </row>
    <row r="401" spans="2:4" x14ac:dyDescent="0.2">
      <c r="D401" s="5" t="s">
        <v>706</v>
      </c>
    </row>
    <row r="402" spans="2:4" x14ac:dyDescent="0.2">
      <c r="D402" s="5" t="s">
        <v>707</v>
      </c>
    </row>
    <row r="403" spans="2:4" x14ac:dyDescent="0.2">
      <c r="B403" s="5" t="s">
        <v>1852</v>
      </c>
    </row>
    <row r="404" spans="2:4" x14ac:dyDescent="0.2">
      <c r="D404" s="5" t="s">
        <v>1000</v>
      </c>
    </row>
    <row r="405" spans="2:4" x14ac:dyDescent="0.2">
      <c r="D405" s="5" t="s">
        <v>859</v>
      </c>
    </row>
    <row r="406" spans="2:4" x14ac:dyDescent="0.2">
      <c r="D406" s="5" t="s">
        <v>883</v>
      </c>
    </row>
    <row r="407" spans="2:4" x14ac:dyDescent="0.2">
      <c r="D407" s="5" t="s">
        <v>706</v>
      </c>
    </row>
    <row r="408" spans="2:4" x14ac:dyDescent="0.2">
      <c r="D408" s="5" t="s">
        <v>707</v>
      </c>
    </row>
    <row r="409" spans="2:4" x14ac:dyDescent="0.2">
      <c r="B409" s="5" t="s">
        <v>1853</v>
      </c>
    </row>
    <row r="410" spans="2:4" x14ac:dyDescent="0.2">
      <c r="D410" s="5" t="s">
        <v>1000</v>
      </c>
    </row>
    <row r="411" spans="2:4" x14ac:dyDescent="0.2">
      <c r="D411" s="5" t="s">
        <v>859</v>
      </c>
    </row>
    <row r="412" spans="2:4" x14ac:dyDescent="0.2">
      <c r="D412" s="5" t="s">
        <v>883</v>
      </c>
    </row>
    <row r="413" spans="2:4" x14ac:dyDescent="0.2">
      <c r="D413" s="5" t="s">
        <v>706</v>
      </c>
    </row>
    <row r="414" spans="2:4" x14ac:dyDescent="0.2">
      <c r="D414" s="5" t="s">
        <v>707</v>
      </c>
    </row>
    <row r="415" spans="2:4" x14ac:dyDescent="0.2">
      <c r="B415" s="5" t="s">
        <v>1854</v>
      </c>
    </row>
    <row r="416" spans="2:4" x14ac:dyDescent="0.2">
      <c r="D416" s="5" t="s">
        <v>1000</v>
      </c>
    </row>
    <row r="417" spans="2:4" x14ac:dyDescent="0.2">
      <c r="D417" s="5" t="s">
        <v>859</v>
      </c>
    </row>
    <row r="418" spans="2:4" x14ac:dyDescent="0.2">
      <c r="D418" s="5" t="s">
        <v>883</v>
      </c>
    </row>
    <row r="419" spans="2:4" x14ac:dyDescent="0.2">
      <c r="D419" s="5" t="s">
        <v>706</v>
      </c>
    </row>
    <row r="420" spans="2:4" x14ac:dyDescent="0.2">
      <c r="D420" s="5" t="s">
        <v>707</v>
      </c>
    </row>
    <row r="421" spans="2:4" x14ac:dyDescent="0.2">
      <c r="B421" s="5" t="s">
        <v>1855</v>
      </c>
    </row>
    <row r="422" spans="2:4" x14ac:dyDescent="0.2">
      <c r="D422" s="5" t="s">
        <v>1000</v>
      </c>
    </row>
    <row r="423" spans="2:4" x14ac:dyDescent="0.2">
      <c r="D423" s="5" t="s">
        <v>859</v>
      </c>
    </row>
    <row r="424" spans="2:4" x14ac:dyDescent="0.2">
      <c r="D424" s="5" t="s">
        <v>883</v>
      </c>
    </row>
    <row r="425" spans="2:4" x14ac:dyDescent="0.2">
      <c r="D425" s="5" t="s">
        <v>706</v>
      </c>
    </row>
    <row r="426" spans="2:4" x14ac:dyDescent="0.2">
      <c r="D426" s="5" t="s">
        <v>707</v>
      </c>
    </row>
    <row r="427" spans="2:4" x14ac:dyDescent="0.2">
      <c r="B427" s="5" t="s">
        <v>1856</v>
      </c>
    </row>
    <row r="428" spans="2:4" x14ac:dyDescent="0.2">
      <c r="D428" s="5" t="s">
        <v>1000</v>
      </c>
    </row>
    <row r="429" spans="2:4" x14ac:dyDescent="0.2">
      <c r="D429" s="5" t="s">
        <v>859</v>
      </c>
    </row>
    <row r="430" spans="2:4" x14ac:dyDescent="0.2">
      <c r="D430" s="5" t="s">
        <v>883</v>
      </c>
    </row>
    <row r="431" spans="2:4" x14ac:dyDescent="0.2">
      <c r="D431" s="5" t="s">
        <v>1026</v>
      </c>
    </row>
    <row r="432" spans="2:4" x14ac:dyDescent="0.2">
      <c r="D432" s="5" t="s">
        <v>712</v>
      </c>
    </row>
    <row r="433" spans="2:4" x14ac:dyDescent="0.2">
      <c r="B433" s="5" t="s">
        <v>1857</v>
      </c>
    </row>
    <row r="434" spans="2:4" x14ac:dyDescent="0.2">
      <c r="D434" s="5" t="s">
        <v>1000</v>
      </c>
    </row>
    <row r="435" spans="2:4" x14ac:dyDescent="0.2">
      <c r="D435" s="5" t="s">
        <v>859</v>
      </c>
    </row>
    <row r="436" spans="2:4" x14ac:dyDescent="0.2">
      <c r="D436" s="5" t="s">
        <v>883</v>
      </c>
    </row>
    <row r="437" spans="2:4" x14ac:dyDescent="0.2">
      <c r="D437" s="5" t="s">
        <v>1026</v>
      </c>
    </row>
    <row r="438" spans="2:4" x14ac:dyDescent="0.2">
      <c r="D438" s="5" t="s">
        <v>712</v>
      </c>
    </row>
    <row r="439" spans="2:4" x14ac:dyDescent="0.2">
      <c r="B439" s="5" t="s">
        <v>1858</v>
      </c>
    </row>
    <row r="440" spans="2:4" x14ac:dyDescent="0.2">
      <c r="D440" s="5" t="s">
        <v>1000</v>
      </c>
    </row>
    <row r="441" spans="2:4" x14ac:dyDescent="0.2">
      <c r="D441" s="5" t="s">
        <v>859</v>
      </c>
    </row>
    <row r="442" spans="2:4" x14ac:dyDescent="0.2">
      <c r="D442" s="5" t="s">
        <v>883</v>
      </c>
    </row>
    <row r="443" spans="2:4" x14ac:dyDescent="0.2">
      <c r="D443" s="5" t="s">
        <v>1026</v>
      </c>
    </row>
    <row r="444" spans="2:4" x14ac:dyDescent="0.2">
      <c r="D444" s="5" t="s">
        <v>712</v>
      </c>
    </row>
    <row r="445" spans="2:4" x14ac:dyDescent="0.2">
      <c r="B445" s="5" t="s">
        <v>1859</v>
      </c>
    </row>
    <row r="446" spans="2:4" x14ac:dyDescent="0.2">
      <c r="D446" s="5" t="s">
        <v>1000</v>
      </c>
    </row>
    <row r="447" spans="2:4" x14ac:dyDescent="0.2">
      <c r="D447" s="5" t="s">
        <v>859</v>
      </c>
    </row>
    <row r="448" spans="2:4" x14ac:dyDescent="0.2">
      <c r="D448" s="5" t="s">
        <v>883</v>
      </c>
    </row>
    <row r="449" spans="2:8" x14ac:dyDescent="0.2">
      <c r="D449" s="5" t="s">
        <v>1026</v>
      </c>
      <c r="F449"/>
      <c r="G449"/>
      <c r="H449"/>
    </row>
    <row r="450" spans="2:8" x14ac:dyDescent="0.2">
      <c r="D450" s="5" t="s">
        <v>712</v>
      </c>
      <c r="F450"/>
      <c r="G450"/>
      <c r="H450"/>
    </row>
    <row r="451" spans="2:8" x14ac:dyDescent="0.2">
      <c r="B451" s="5" t="s">
        <v>1860</v>
      </c>
      <c r="F451"/>
      <c r="G451"/>
      <c r="H451"/>
    </row>
    <row r="452" spans="2:8" x14ac:dyDescent="0.2">
      <c r="D452" s="5" t="s">
        <v>1758</v>
      </c>
      <c r="F452"/>
      <c r="G452"/>
      <c r="H452"/>
    </row>
    <row r="453" spans="2:8" x14ac:dyDescent="0.2">
      <c r="D453" s="5" t="s">
        <v>704</v>
      </c>
      <c r="F453"/>
      <c r="G453"/>
      <c r="H453"/>
    </row>
    <row r="454" spans="2:8" x14ac:dyDescent="0.2">
      <c r="D454" s="5" t="s">
        <v>1197</v>
      </c>
      <c r="F454"/>
      <c r="G454"/>
      <c r="H454"/>
    </row>
    <row r="455" spans="2:8" x14ac:dyDescent="0.2">
      <c r="D455" s="5" t="s">
        <v>1861</v>
      </c>
      <c r="F455"/>
      <c r="G455"/>
      <c r="H455"/>
    </row>
    <row r="456" spans="2:8" x14ac:dyDescent="0.2">
      <c r="E456" s="5" t="s">
        <v>1862</v>
      </c>
      <c r="F456" s="5">
        <v>5343</v>
      </c>
      <c r="G456" s="5" t="s">
        <v>19</v>
      </c>
      <c r="H456" s="5" t="s">
        <v>1927</v>
      </c>
    </row>
    <row r="457" spans="2:8" x14ac:dyDescent="0.2">
      <c r="E457" s="5" t="s">
        <v>1863</v>
      </c>
      <c r="F457" s="5">
        <v>5365</v>
      </c>
      <c r="G457" s="5" t="s">
        <v>19</v>
      </c>
      <c r="H457" s="5" t="s">
        <v>1927</v>
      </c>
    </row>
    <row r="458" spans="2:8" x14ac:dyDescent="0.2">
      <c r="D458" s="5" t="s">
        <v>1864</v>
      </c>
      <c r="F458"/>
      <c r="G458"/>
      <c r="H458"/>
    </row>
    <row r="459" spans="2:8" x14ac:dyDescent="0.2">
      <c r="E459" s="5" t="s">
        <v>1865</v>
      </c>
      <c r="F459" s="5">
        <v>5343</v>
      </c>
      <c r="G459" s="5" t="s">
        <v>19</v>
      </c>
      <c r="H459" s="5" t="s">
        <v>1927</v>
      </c>
    </row>
    <row r="460" spans="2:8" x14ac:dyDescent="0.2">
      <c r="E460" s="5" t="s">
        <v>1866</v>
      </c>
      <c r="F460" s="5">
        <v>5365</v>
      </c>
      <c r="G460" s="5" t="s">
        <v>19</v>
      </c>
      <c r="H460" s="5" t="s">
        <v>1927</v>
      </c>
    </row>
    <row r="461" spans="2:8" x14ac:dyDescent="0.2">
      <c r="B461" s="5" t="s">
        <v>1867</v>
      </c>
      <c r="F461"/>
      <c r="G461"/>
      <c r="H461"/>
    </row>
    <row r="462" spans="2:8" x14ac:dyDescent="0.2">
      <c r="D462" s="5" t="s">
        <v>1000</v>
      </c>
      <c r="F462"/>
      <c r="G462"/>
      <c r="H462"/>
    </row>
    <row r="463" spans="2:8" x14ac:dyDescent="0.2">
      <c r="D463" s="5" t="s">
        <v>859</v>
      </c>
      <c r="F463"/>
      <c r="G463"/>
      <c r="H463"/>
    </row>
    <row r="464" spans="2:8" x14ac:dyDescent="0.2">
      <c r="D464" s="5" t="s">
        <v>883</v>
      </c>
      <c r="F464"/>
      <c r="G464"/>
      <c r="H464"/>
    </row>
    <row r="465" spans="2:4" x14ac:dyDescent="0.2">
      <c r="D465" s="5" t="s">
        <v>1026</v>
      </c>
    </row>
    <row r="466" spans="2:4" x14ac:dyDescent="0.2">
      <c r="D466" s="5" t="s">
        <v>712</v>
      </c>
    </row>
    <row r="467" spans="2:4" x14ac:dyDescent="0.2">
      <c r="B467" s="5" t="s">
        <v>1868</v>
      </c>
    </row>
    <row r="468" spans="2:4" x14ac:dyDescent="0.2">
      <c r="D468" s="5" t="s">
        <v>864</v>
      </c>
    </row>
    <row r="469" spans="2:4" x14ac:dyDescent="0.2">
      <c r="D469" s="5" t="s">
        <v>704</v>
      </c>
    </row>
    <row r="470" spans="2:4" x14ac:dyDescent="0.2">
      <c r="D470" s="5" t="s">
        <v>865</v>
      </c>
    </row>
    <row r="471" spans="2:4" x14ac:dyDescent="0.2">
      <c r="D471" s="5" t="s">
        <v>706</v>
      </c>
    </row>
    <row r="472" spans="2:4" x14ac:dyDescent="0.2">
      <c r="D472" s="5" t="s">
        <v>712</v>
      </c>
    </row>
    <row r="473" spans="2:4" x14ac:dyDescent="0.2">
      <c r="B473" s="5" t="s">
        <v>1869</v>
      </c>
    </row>
    <row r="474" spans="2:4" x14ac:dyDescent="0.2">
      <c r="D474" s="5" t="s">
        <v>882</v>
      </c>
    </row>
    <row r="475" spans="2:4" x14ac:dyDescent="0.2">
      <c r="D475" s="5" t="s">
        <v>704</v>
      </c>
    </row>
    <row r="476" spans="2:4" x14ac:dyDescent="0.2">
      <c r="D476" s="5" t="s">
        <v>883</v>
      </c>
    </row>
    <row r="477" spans="2:4" x14ac:dyDescent="0.2">
      <c r="D477" s="5" t="s">
        <v>706</v>
      </c>
    </row>
    <row r="478" spans="2:4" x14ac:dyDescent="0.2">
      <c r="D478" s="5" t="s">
        <v>707</v>
      </c>
    </row>
    <row r="479" spans="2:4" x14ac:dyDescent="0.2">
      <c r="B479" s="5" t="s">
        <v>1870</v>
      </c>
    </row>
    <row r="480" spans="2:4" x14ac:dyDescent="0.2">
      <c r="D480" s="5" t="s">
        <v>882</v>
      </c>
    </row>
    <row r="481" spans="2:4" x14ac:dyDescent="0.2">
      <c r="D481" s="5" t="s">
        <v>704</v>
      </c>
    </row>
    <row r="482" spans="2:4" x14ac:dyDescent="0.2">
      <c r="D482" s="5" t="s">
        <v>883</v>
      </c>
    </row>
    <row r="483" spans="2:4" x14ac:dyDescent="0.2">
      <c r="D483" s="5" t="s">
        <v>706</v>
      </c>
    </row>
    <row r="484" spans="2:4" x14ac:dyDescent="0.2">
      <c r="D484" s="5" t="s">
        <v>707</v>
      </c>
    </row>
    <row r="485" spans="2:4" x14ac:dyDescent="0.2">
      <c r="B485" s="5" t="s">
        <v>1871</v>
      </c>
    </row>
    <row r="486" spans="2:4" x14ac:dyDescent="0.2">
      <c r="D486" s="5" t="s">
        <v>882</v>
      </c>
    </row>
    <row r="487" spans="2:4" x14ac:dyDescent="0.2">
      <c r="D487" s="5" t="s">
        <v>704</v>
      </c>
    </row>
    <row r="488" spans="2:4" x14ac:dyDescent="0.2">
      <c r="D488" s="5" t="s">
        <v>883</v>
      </c>
    </row>
    <row r="489" spans="2:4" x14ac:dyDescent="0.2">
      <c r="D489" s="5" t="s">
        <v>706</v>
      </c>
    </row>
    <row r="490" spans="2:4" x14ac:dyDescent="0.2">
      <c r="D490" s="5" t="s">
        <v>707</v>
      </c>
    </row>
    <row r="491" spans="2:4" x14ac:dyDescent="0.2">
      <c r="B491" s="5" t="s">
        <v>1872</v>
      </c>
    </row>
    <row r="492" spans="2:4" x14ac:dyDescent="0.2">
      <c r="D492" s="5" t="s">
        <v>882</v>
      </c>
    </row>
    <row r="493" spans="2:4" x14ac:dyDescent="0.2">
      <c r="D493" s="5" t="s">
        <v>704</v>
      </c>
    </row>
    <row r="494" spans="2:4" x14ac:dyDescent="0.2">
      <c r="D494" s="5" t="s">
        <v>883</v>
      </c>
    </row>
    <row r="495" spans="2:4" x14ac:dyDescent="0.2">
      <c r="D495" s="5" t="s">
        <v>706</v>
      </c>
    </row>
    <row r="496" spans="2:4" x14ac:dyDescent="0.2">
      <c r="D496" s="5" t="s">
        <v>707</v>
      </c>
    </row>
    <row r="497" spans="2:8" x14ac:dyDescent="0.2">
      <c r="B497" s="5" t="s">
        <v>1873</v>
      </c>
      <c r="F497"/>
      <c r="G497"/>
      <c r="H497"/>
    </row>
    <row r="498" spans="2:8" x14ac:dyDescent="0.2">
      <c r="D498" s="5" t="s">
        <v>703</v>
      </c>
      <c r="F498"/>
      <c r="G498"/>
      <c r="H498"/>
    </row>
    <row r="499" spans="2:8" x14ac:dyDescent="0.2">
      <c r="D499" s="5" t="s">
        <v>704</v>
      </c>
      <c r="F499"/>
      <c r="G499"/>
      <c r="H499"/>
    </row>
    <row r="500" spans="2:8" x14ac:dyDescent="0.2">
      <c r="D500" s="5" t="s">
        <v>705</v>
      </c>
      <c r="F500"/>
      <c r="G500"/>
      <c r="H500"/>
    </row>
    <row r="501" spans="2:8" x14ac:dyDescent="0.2">
      <c r="D501" s="5" t="s">
        <v>711</v>
      </c>
      <c r="F501"/>
      <c r="G501"/>
      <c r="H501"/>
    </row>
    <row r="502" spans="2:8" x14ac:dyDescent="0.2">
      <c r="D502" s="5" t="s">
        <v>712</v>
      </c>
      <c r="F502"/>
      <c r="G502"/>
      <c r="H502"/>
    </row>
    <row r="503" spans="2:8" x14ac:dyDescent="0.2">
      <c r="B503" s="5" t="s">
        <v>1874</v>
      </c>
      <c r="F503"/>
      <c r="G503"/>
      <c r="H503"/>
    </row>
    <row r="504" spans="2:8" x14ac:dyDescent="0.2">
      <c r="D504" s="5" t="s">
        <v>1807</v>
      </c>
      <c r="F504"/>
      <c r="G504"/>
      <c r="H504"/>
    </row>
    <row r="505" spans="2:8" x14ac:dyDescent="0.2">
      <c r="D505" s="5" t="s">
        <v>704</v>
      </c>
      <c r="F505"/>
      <c r="G505"/>
      <c r="H505"/>
    </row>
    <row r="506" spans="2:8" x14ac:dyDescent="0.2">
      <c r="D506" s="5" t="s">
        <v>1067</v>
      </c>
      <c r="F506"/>
      <c r="G506"/>
      <c r="H506"/>
    </row>
    <row r="507" spans="2:8" x14ac:dyDescent="0.2">
      <c r="D507" s="5" t="s">
        <v>1875</v>
      </c>
      <c r="F507"/>
      <c r="G507"/>
      <c r="H507"/>
    </row>
    <row r="508" spans="2:8" x14ac:dyDescent="0.2">
      <c r="E508" s="5" t="s">
        <v>1876</v>
      </c>
      <c r="F508" s="5">
        <v>5637</v>
      </c>
      <c r="G508" s="5" t="s">
        <v>19</v>
      </c>
      <c r="H508" s="5" t="s">
        <v>1927</v>
      </c>
    </row>
    <row r="509" spans="2:8" x14ac:dyDescent="0.2">
      <c r="E509" s="5" t="s">
        <v>1877</v>
      </c>
      <c r="F509" s="5">
        <v>5661</v>
      </c>
      <c r="G509" s="5" t="s">
        <v>19</v>
      </c>
      <c r="H509" s="5" t="s">
        <v>1927</v>
      </c>
    </row>
    <row r="510" spans="2:8" x14ac:dyDescent="0.2">
      <c r="D510" s="5" t="s">
        <v>1878</v>
      </c>
      <c r="F510"/>
      <c r="G510"/>
      <c r="H510"/>
    </row>
    <row r="511" spans="2:8" x14ac:dyDescent="0.2">
      <c r="E511" s="5" t="s">
        <v>1879</v>
      </c>
      <c r="F511" s="5">
        <v>5637</v>
      </c>
      <c r="G511" s="5" t="s">
        <v>19</v>
      </c>
      <c r="H511" s="5" t="s">
        <v>1927</v>
      </c>
    </row>
    <row r="512" spans="2:8" x14ac:dyDescent="0.2">
      <c r="E512" s="5" t="s">
        <v>1880</v>
      </c>
      <c r="F512" s="5">
        <v>5661</v>
      </c>
      <c r="G512" s="5" t="s">
        <v>19</v>
      </c>
      <c r="H512" s="5" t="s">
        <v>1927</v>
      </c>
    </row>
    <row r="513" spans="2:4" x14ac:dyDescent="0.2">
      <c r="B513" s="5" t="s">
        <v>1881</v>
      </c>
    </row>
    <row r="514" spans="2:4" x14ac:dyDescent="0.2">
      <c r="D514" s="5" t="s">
        <v>703</v>
      </c>
    </row>
    <row r="515" spans="2:4" x14ac:dyDescent="0.2">
      <c r="D515" s="5" t="s">
        <v>704</v>
      </c>
    </row>
    <row r="516" spans="2:4" x14ac:dyDescent="0.2">
      <c r="D516" s="5" t="s">
        <v>705</v>
      </c>
    </row>
    <row r="517" spans="2:4" x14ac:dyDescent="0.2">
      <c r="D517" s="5" t="s">
        <v>711</v>
      </c>
    </row>
    <row r="518" spans="2:4" x14ac:dyDescent="0.2">
      <c r="D518" s="5" t="s">
        <v>712</v>
      </c>
    </row>
    <row r="519" spans="2:4" x14ac:dyDescent="0.2">
      <c r="B519" s="5" t="s">
        <v>1882</v>
      </c>
    </row>
    <row r="520" spans="2:4" x14ac:dyDescent="0.2">
      <c r="D520" s="5" t="s">
        <v>1000</v>
      </c>
    </row>
    <row r="521" spans="2:4" x14ac:dyDescent="0.2">
      <c r="D521" s="5" t="s">
        <v>859</v>
      </c>
    </row>
    <row r="522" spans="2:4" x14ac:dyDescent="0.2">
      <c r="D522" s="5" t="s">
        <v>883</v>
      </c>
    </row>
    <row r="523" spans="2:4" x14ac:dyDescent="0.2">
      <c r="D523" s="5" t="s">
        <v>1026</v>
      </c>
    </row>
    <row r="524" spans="2:4" x14ac:dyDescent="0.2">
      <c r="D524" s="5" t="s">
        <v>712</v>
      </c>
    </row>
    <row r="525" spans="2:4" x14ac:dyDescent="0.2">
      <c r="B525" s="5" t="s">
        <v>1883</v>
      </c>
    </row>
    <row r="526" spans="2:4" x14ac:dyDescent="0.2">
      <c r="D526" s="5" t="s">
        <v>1000</v>
      </c>
    </row>
    <row r="527" spans="2:4" x14ac:dyDescent="0.2">
      <c r="D527" s="5" t="s">
        <v>859</v>
      </c>
    </row>
    <row r="528" spans="2:4" x14ac:dyDescent="0.2">
      <c r="D528" s="5" t="s">
        <v>883</v>
      </c>
    </row>
    <row r="529" spans="2:4" x14ac:dyDescent="0.2">
      <c r="D529" s="5" t="s">
        <v>1026</v>
      </c>
    </row>
    <row r="530" spans="2:4" x14ac:dyDescent="0.2">
      <c r="D530" s="5" t="s">
        <v>712</v>
      </c>
    </row>
    <row r="531" spans="2:4" x14ac:dyDescent="0.2">
      <c r="B531" s="5" t="s">
        <v>1884</v>
      </c>
    </row>
    <row r="532" spans="2:4" x14ac:dyDescent="0.2">
      <c r="D532" s="5" t="s">
        <v>703</v>
      </c>
    </row>
    <row r="533" spans="2:4" x14ac:dyDescent="0.2">
      <c r="D533" s="5" t="s">
        <v>704</v>
      </c>
    </row>
    <row r="534" spans="2:4" x14ac:dyDescent="0.2">
      <c r="D534" s="5" t="s">
        <v>705</v>
      </c>
    </row>
    <row r="535" spans="2:4" x14ac:dyDescent="0.2">
      <c r="D535" s="5" t="s">
        <v>711</v>
      </c>
    </row>
    <row r="536" spans="2:4" x14ac:dyDescent="0.2">
      <c r="D536" s="5" t="s">
        <v>712</v>
      </c>
    </row>
    <row r="537" spans="2:4" x14ac:dyDescent="0.2">
      <c r="B537" s="5" t="s">
        <v>1885</v>
      </c>
    </row>
    <row r="538" spans="2:4" x14ac:dyDescent="0.2">
      <c r="D538" s="5" t="s">
        <v>1000</v>
      </c>
    </row>
    <row r="539" spans="2:4" x14ac:dyDescent="0.2">
      <c r="D539" s="5" t="s">
        <v>859</v>
      </c>
    </row>
    <row r="540" spans="2:4" x14ac:dyDescent="0.2">
      <c r="D540" s="5" t="s">
        <v>883</v>
      </c>
    </row>
    <row r="541" spans="2:4" x14ac:dyDescent="0.2">
      <c r="D541" s="5" t="s">
        <v>1026</v>
      </c>
    </row>
    <row r="542" spans="2:4" x14ac:dyDescent="0.2">
      <c r="D542" s="5" t="s">
        <v>712</v>
      </c>
    </row>
    <row r="543" spans="2:4" x14ac:dyDescent="0.2">
      <c r="B543" s="5" t="s">
        <v>1886</v>
      </c>
    </row>
    <row r="544" spans="2:4" x14ac:dyDescent="0.2">
      <c r="D544" s="5" t="s">
        <v>864</v>
      </c>
    </row>
    <row r="545" spans="2:4" x14ac:dyDescent="0.2">
      <c r="D545" s="5" t="s">
        <v>834</v>
      </c>
    </row>
    <row r="546" spans="2:4" x14ac:dyDescent="0.2">
      <c r="D546" s="5" t="s">
        <v>1013</v>
      </c>
    </row>
    <row r="547" spans="2:4" x14ac:dyDescent="0.2">
      <c r="D547" s="5" t="s">
        <v>727</v>
      </c>
    </row>
    <row r="548" spans="2:4" x14ac:dyDescent="0.2">
      <c r="D548" s="5" t="s">
        <v>712</v>
      </c>
    </row>
    <row r="549" spans="2:4" x14ac:dyDescent="0.2">
      <c r="B549" s="5" t="s">
        <v>1887</v>
      </c>
    </row>
    <row r="550" spans="2:4" x14ac:dyDescent="0.2">
      <c r="D550" s="5" t="s">
        <v>864</v>
      </c>
    </row>
    <row r="551" spans="2:4" x14ac:dyDescent="0.2">
      <c r="D551" s="5" t="s">
        <v>834</v>
      </c>
    </row>
    <row r="552" spans="2:4" x14ac:dyDescent="0.2">
      <c r="D552" s="5" t="s">
        <v>1013</v>
      </c>
    </row>
    <row r="553" spans="2:4" x14ac:dyDescent="0.2">
      <c r="D553" s="5" t="s">
        <v>727</v>
      </c>
    </row>
    <row r="554" spans="2:4" x14ac:dyDescent="0.2">
      <c r="D554" s="5" t="s">
        <v>712</v>
      </c>
    </row>
    <row r="555" spans="2:4" x14ac:dyDescent="0.2">
      <c r="B555" s="5" t="s">
        <v>1888</v>
      </c>
    </row>
    <row r="556" spans="2:4" x14ac:dyDescent="0.2">
      <c r="D556" s="5" t="s">
        <v>1000</v>
      </c>
    </row>
    <row r="557" spans="2:4" x14ac:dyDescent="0.2">
      <c r="D557" s="5" t="s">
        <v>859</v>
      </c>
    </row>
    <row r="558" spans="2:4" x14ac:dyDescent="0.2">
      <c r="D558" s="5" t="s">
        <v>883</v>
      </c>
    </row>
    <row r="559" spans="2:4" x14ac:dyDescent="0.2">
      <c r="D559" s="5" t="s">
        <v>1026</v>
      </c>
    </row>
    <row r="560" spans="2:4" x14ac:dyDescent="0.2">
      <c r="D560" s="5" t="s">
        <v>712</v>
      </c>
    </row>
    <row r="561" spans="2:8" x14ac:dyDescent="0.2">
      <c r="B561" s="5" t="s">
        <v>1889</v>
      </c>
      <c r="F561"/>
      <c r="G561"/>
      <c r="H561"/>
    </row>
    <row r="562" spans="2:8" x14ac:dyDescent="0.2">
      <c r="D562" s="5" t="s">
        <v>703</v>
      </c>
      <c r="F562"/>
      <c r="G562"/>
      <c r="H562"/>
    </row>
    <row r="563" spans="2:8" x14ac:dyDescent="0.2">
      <c r="D563" s="5" t="s">
        <v>704</v>
      </c>
      <c r="F563"/>
      <c r="G563"/>
      <c r="H563"/>
    </row>
    <row r="564" spans="2:8" x14ac:dyDescent="0.2">
      <c r="D564" s="5" t="s">
        <v>705</v>
      </c>
      <c r="F564"/>
      <c r="G564"/>
      <c r="H564"/>
    </row>
    <row r="565" spans="2:8" x14ac:dyDescent="0.2">
      <c r="D565" s="5" t="s">
        <v>711</v>
      </c>
      <c r="F565"/>
      <c r="G565"/>
      <c r="H565"/>
    </row>
    <row r="566" spans="2:8" x14ac:dyDescent="0.2">
      <c r="D566" s="5" t="s">
        <v>712</v>
      </c>
      <c r="F566"/>
      <c r="G566"/>
      <c r="H566"/>
    </row>
    <row r="567" spans="2:8" x14ac:dyDescent="0.2">
      <c r="B567" s="5" t="s">
        <v>1890</v>
      </c>
      <c r="F567"/>
      <c r="G567"/>
      <c r="H567"/>
    </row>
    <row r="568" spans="2:8" x14ac:dyDescent="0.2">
      <c r="D568" s="5" t="s">
        <v>864</v>
      </c>
      <c r="F568"/>
      <c r="G568"/>
      <c r="H568"/>
    </row>
    <row r="569" spans="2:8" x14ac:dyDescent="0.2">
      <c r="D569" s="5" t="s">
        <v>834</v>
      </c>
      <c r="F569"/>
      <c r="G569"/>
      <c r="H569"/>
    </row>
    <row r="570" spans="2:8" x14ac:dyDescent="0.2">
      <c r="D570" s="5" t="s">
        <v>1013</v>
      </c>
      <c r="F570"/>
      <c r="G570"/>
      <c r="H570"/>
    </row>
    <row r="571" spans="2:8" x14ac:dyDescent="0.2">
      <c r="D571" s="5" t="s">
        <v>727</v>
      </c>
      <c r="F571"/>
      <c r="G571"/>
      <c r="H571"/>
    </row>
    <row r="572" spans="2:8" x14ac:dyDescent="0.2">
      <c r="D572" s="5" t="s">
        <v>712</v>
      </c>
      <c r="F572"/>
      <c r="G572"/>
      <c r="H572"/>
    </row>
    <row r="573" spans="2:8" x14ac:dyDescent="0.2">
      <c r="B573" s="5" t="s">
        <v>1891</v>
      </c>
      <c r="F573"/>
      <c r="G573"/>
      <c r="H573"/>
    </row>
    <row r="574" spans="2:8" x14ac:dyDescent="0.2">
      <c r="D574" s="5" t="s">
        <v>1892</v>
      </c>
      <c r="F574"/>
      <c r="G574"/>
      <c r="H574"/>
    </row>
    <row r="575" spans="2:8" x14ac:dyDescent="0.2">
      <c r="D575" s="5" t="s">
        <v>1420</v>
      </c>
      <c r="F575"/>
      <c r="G575"/>
      <c r="H575"/>
    </row>
    <row r="576" spans="2:8" x14ac:dyDescent="0.2">
      <c r="E576" s="5" t="s">
        <v>1893</v>
      </c>
      <c r="F576" s="5">
        <v>5962</v>
      </c>
      <c r="G576" s="5" t="s">
        <v>19</v>
      </c>
      <c r="H576" s="5" t="s">
        <v>1928</v>
      </c>
    </row>
    <row r="577" spans="2:8" x14ac:dyDescent="0.2">
      <c r="D577" s="5" t="s">
        <v>1894</v>
      </c>
      <c r="F577"/>
      <c r="G577"/>
      <c r="H577"/>
    </row>
    <row r="578" spans="2:8" x14ac:dyDescent="0.2">
      <c r="D578" s="5" t="s">
        <v>1895</v>
      </c>
      <c r="F578"/>
      <c r="G578"/>
      <c r="H578"/>
    </row>
    <row r="579" spans="2:8" x14ac:dyDescent="0.2">
      <c r="E579" s="5" t="s">
        <v>1896</v>
      </c>
      <c r="F579" s="5">
        <v>5956</v>
      </c>
      <c r="G579" s="5" t="s">
        <v>19</v>
      </c>
      <c r="H579" s="5" t="s">
        <v>1928</v>
      </c>
    </row>
    <row r="580" spans="2:8" x14ac:dyDescent="0.2">
      <c r="D580" s="5" t="s">
        <v>712</v>
      </c>
      <c r="F580"/>
      <c r="G580"/>
      <c r="H580"/>
    </row>
    <row r="581" spans="2:8" x14ac:dyDescent="0.2">
      <c r="B581" s="5" t="s">
        <v>1897</v>
      </c>
      <c r="F581"/>
      <c r="G581"/>
      <c r="H581"/>
    </row>
    <row r="582" spans="2:8" x14ac:dyDescent="0.2">
      <c r="D582" s="5" t="s">
        <v>1000</v>
      </c>
      <c r="F582"/>
      <c r="G582"/>
      <c r="H582"/>
    </row>
    <row r="583" spans="2:8" x14ac:dyDescent="0.2">
      <c r="D583" s="5" t="s">
        <v>859</v>
      </c>
      <c r="F583"/>
      <c r="G583"/>
      <c r="H583"/>
    </row>
    <row r="584" spans="2:8" x14ac:dyDescent="0.2">
      <c r="D584" s="5" t="s">
        <v>883</v>
      </c>
      <c r="F584"/>
      <c r="G584"/>
      <c r="H584"/>
    </row>
    <row r="585" spans="2:8" x14ac:dyDescent="0.2">
      <c r="D585" s="5" t="s">
        <v>1026</v>
      </c>
      <c r="F585"/>
      <c r="G585"/>
      <c r="H585"/>
    </row>
    <row r="586" spans="2:8" x14ac:dyDescent="0.2">
      <c r="D586" s="5" t="s">
        <v>712</v>
      </c>
      <c r="F586"/>
      <c r="G586"/>
      <c r="H586"/>
    </row>
    <row r="587" spans="2:8" x14ac:dyDescent="0.2">
      <c r="B587" s="5" t="s">
        <v>1898</v>
      </c>
      <c r="F587"/>
      <c r="G587"/>
      <c r="H587"/>
    </row>
    <row r="588" spans="2:8" x14ac:dyDescent="0.2">
      <c r="D588" s="5" t="s">
        <v>703</v>
      </c>
      <c r="F588"/>
      <c r="G588"/>
      <c r="H588"/>
    </row>
    <row r="589" spans="2:8" x14ac:dyDescent="0.2">
      <c r="D589" s="5" t="s">
        <v>704</v>
      </c>
      <c r="F589"/>
      <c r="G589"/>
      <c r="H589"/>
    </row>
    <row r="590" spans="2:8" x14ac:dyDescent="0.2">
      <c r="D590" s="5" t="s">
        <v>705</v>
      </c>
      <c r="F590"/>
      <c r="G590"/>
      <c r="H590"/>
    </row>
    <row r="591" spans="2:8" x14ac:dyDescent="0.2">
      <c r="D591" s="5" t="s">
        <v>711</v>
      </c>
      <c r="F591"/>
      <c r="G591"/>
      <c r="H591"/>
    </row>
    <row r="592" spans="2:8" x14ac:dyDescent="0.2">
      <c r="D592" s="5" t="s">
        <v>712</v>
      </c>
      <c r="F592"/>
      <c r="G592"/>
      <c r="H592"/>
    </row>
    <row r="593" spans="2:4" x14ac:dyDescent="0.2">
      <c r="B593" s="5" t="s">
        <v>1899</v>
      </c>
    </row>
    <row r="594" spans="2:4" x14ac:dyDescent="0.2">
      <c r="D594" s="5" t="s">
        <v>864</v>
      </c>
    </row>
    <row r="595" spans="2:4" x14ac:dyDescent="0.2">
      <c r="D595" s="5" t="s">
        <v>834</v>
      </c>
    </row>
    <row r="596" spans="2:4" x14ac:dyDescent="0.2">
      <c r="D596" s="5" t="s">
        <v>1013</v>
      </c>
    </row>
    <row r="597" spans="2:4" x14ac:dyDescent="0.2">
      <c r="D597" s="5" t="s">
        <v>727</v>
      </c>
    </row>
    <row r="598" spans="2:4" x14ac:dyDescent="0.2">
      <c r="D598" s="5" t="s">
        <v>712</v>
      </c>
    </row>
    <row r="599" spans="2:4" x14ac:dyDescent="0.2">
      <c r="B599" s="5" t="s">
        <v>1900</v>
      </c>
    </row>
    <row r="600" spans="2:4" x14ac:dyDescent="0.2">
      <c r="D600" s="5" t="s">
        <v>703</v>
      </c>
    </row>
    <row r="601" spans="2:4" x14ac:dyDescent="0.2">
      <c r="D601" s="5" t="s">
        <v>704</v>
      </c>
    </row>
    <row r="602" spans="2:4" x14ac:dyDescent="0.2">
      <c r="D602" s="5" t="s">
        <v>705</v>
      </c>
    </row>
    <row r="603" spans="2:4" x14ac:dyDescent="0.2">
      <c r="D603" s="5" t="s">
        <v>711</v>
      </c>
    </row>
    <row r="604" spans="2:4" x14ac:dyDescent="0.2">
      <c r="D604" s="5" t="s">
        <v>712</v>
      </c>
    </row>
    <row r="605" spans="2:4" x14ac:dyDescent="0.2">
      <c r="B605" s="5" t="s">
        <v>1901</v>
      </c>
    </row>
    <row r="606" spans="2:4" x14ac:dyDescent="0.2">
      <c r="D606" s="5" t="s">
        <v>1000</v>
      </c>
    </row>
    <row r="607" spans="2:4" x14ac:dyDescent="0.2">
      <c r="D607" s="5" t="s">
        <v>859</v>
      </c>
    </row>
    <row r="608" spans="2:4" x14ac:dyDescent="0.2">
      <c r="D608" s="5" t="s">
        <v>883</v>
      </c>
    </row>
    <row r="609" spans="2:4" x14ac:dyDescent="0.2">
      <c r="D609" s="5" t="s">
        <v>1026</v>
      </c>
    </row>
    <row r="610" spans="2:4" x14ac:dyDescent="0.2">
      <c r="D610" s="5" t="s">
        <v>712</v>
      </c>
    </row>
    <row r="611" spans="2:4" x14ac:dyDescent="0.2">
      <c r="B611" s="5" t="s">
        <v>1902</v>
      </c>
    </row>
    <row r="612" spans="2:4" x14ac:dyDescent="0.2">
      <c r="D612" s="5" t="s">
        <v>1000</v>
      </c>
    </row>
    <row r="613" spans="2:4" x14ac:dyDescent="0.2">
      <c r="D613" s="5" t="s">
        <v>859</v>
      </c>
    </row>
    <row r="614" spans="2:4" x14ac:dyDescent="0.2">
      <c r="D614" s="5" t="s">
        <v>883</v>
      </c>
    </row>
    <row r="615" spans="2:4" x14ac:dyDescent="0.2">
      <c r="D615" s="5" t="s">
        <v>1026</v>
      </c>
    </row>
    <row r="616" spans="2:4" x14ac:dyDescent="0.2">
      <c r="D616" s="5" t="s">
        <v>712</v>
      </c>
    </row>
    <row r="617" spans="2:4" x14ac:dyDescent="0.2">
      <c r="B617" s="5" t="s">
        <v>1903</v>
      </c>
    </row>
    <row r="618" spans="2:4" x14ac:dyDescent="0.2">
      <c r="D618" s="5" t="s">
        <v>882</v>
      </c>
    </row>
    <row r="619" spans="2:4" x14ac:dyDescent="0.2">
      <c r="D619" s="5" t="s">
        <v>834</v>
      </c>
    </row>
    <row r="620" spans="2:4" x14ac:dyDescent="0.2">
      <c r="D620" s="5" t="s">
        <v>865</v>
      </c>
    </row>
    <row r="621" spans="2:4" x14ac:dyDescent="0.2">
      <c r="D621" s="5" t="s">
        <v>706</v>
      </c>
    </row>
    <row r="622" spans="2:4" x14ac:dyDescent="0.2">
      <c r="D622" s="5" t="s">
        <v>712</v>
      </c>
    </row>
    <row r="623" spans="2:4" x14ac:dyDescent="0.2">
      <c r="B623" s="5" t="s">
        <v>1904</v>
      </c>
    </row>
    <row r="624" spans="2:4" x14ac:dyDescent="0.2">
      <c r="D624" s="5" t="s">
        <v>703</v>
      </c>
    </row>
    <row r="625" spans="2:4" x14ac:dyDescent="0.2">
      <c r="D625" s="5" t="s">
        <v>704</v>
      </c>
    </row>
    <row r="626" spans="2:4" x14ac:dyDescent="0.2">
      <c r="D626" s="5" t="s">
        <v>705</v>
      </c>
    </row>
    <row r="627" spans="2:4" x14ac:dyDescent="0.2">
      <c r="D627" s="5" t="s">
        <v>711</v>
      </c>
    </row>
    <row r="628" spans="2:4" x14ac:dyDescent="0.2">
      <c r="D628" s="5" t="s">
        <v>712</v>
      </c>
    </row>
    <row r="629" spans="2:4" x14ac:dyDescent="0.2">
      <c r="B629" s="5" t="s">
        <v>1905</v>
      </c>
    </row>
    <row r="630" spans="2:4" x14ac:dyDescent="0.2">
      <c r="D630" s="5" t="s">
        <v>1207</v>
      </c>
    </row>
    <row r="631" spans="2:4" x14ac:dyDescent="0.2">
      <c r="D631" s="5" t="s">
        <v>1239</v>
      </c>
    </row>
    <row r="632" spans="2:4" x14ac:dyDescent="0.2">
      <c r="D632" s="5" t="s">
        <v>1906</v>
      </c>
    </row>
    <row r="633" spans="2:4" x14ac:dyDescent="0.2">
      <c r="D633" s="5" t="s">
        <v>1907</v>
      </c>
    </row>
    <row r="634" spans="2:4" x14ac:dyDescent="0.2">
      <c r="D634" s="5" t="s">
        <v>707</v>
      </c>
    </row>
    <row r="635" spans="2:4" x14ac:dyDescent="0.2">
      <c r="B635" s="5" t="s">
        <v>1908</v>
      </c>
    </row>
    <row r="636" spans="2:4" x14ac:dyDescent="0.2">
      <c r="D636" s="5" t="s">
        <v>703</v>
      </c>
    </row>
    <row r="637" spans="2:4" x14ac:dyDescent="0.2">
      <c r="D637" s="5" t="s">
        <v>704</v>
      </c>
    </row>
    <row r="638" spans="2:4" x14ac:dyDescent="0.2">
      <c r="D638" s="5" t="s">
        <v>705</v>
      </c>
    </row>
    <row r="639" spans="2:4" x14ac:dyDescent="0.2">
      <c r="D639" s="5" t="s">
        <v>711</v>
      </c>
    </row>
    <row r="640" spans="2:4" x14ac:dyDescent="0.2">
      <c r="D640" s="5" t="s">
        <v>712</v>
      </c>
    </row>
    <row r="641" spans="2:8" x14ac:dyDescent="0.2">
      <c r="B641" s="5" t="s">
        <v>1909</v>
      </c>
      <c r="F641"/>
      <c r="G641"/>
      <c r="H641"/>
    </row>
    <row r="642" spans="2:8" x14ac:dyDescent="0.2">
      <c r="D642" s="5" t="s">
        <v>703</v>
      </c>
      <c r="F642"/>
      <c r="G642"/>
      <c r="H642"/>
    </row>
    <row r="643" spans="2:8" x14ac:dyDescent="0.2">
      <c r="D643" s="5" t="s">
        <v>704</v>
      </c>
      <c r="F643"/>
      <c r="G643"/>
      <c r="H643"/>
    </row>
    <row r="644" spans="2:8" x14ac:dyDescent="0.2">
      <c r="D644" s="5" t="s">
        <v>705</v>
      </c>
      <c r="F644"/>
      <c r="G644"/>
      <c r="H644"/>
    </row>
    <row r="645" spans="2:8" x14ac:dyDescent="0.2">
      <c r="D645" s="5" t="s">
        <v>711</v>
      </c>
      <c r="F645"/>
      <c r="G645"/>
      <c r="H645"/>
    </row>
    <row r="646" spans="2:8" x14ac:dyDescent="0.2">
      <c r="D646" s="5" t="s">
        <v>712</v>
      </c>
      <c r="F646"/>
      <c r="G646"/>
      <c r="H646"/>
    </row>
    <row r="647" spans="2:8" x14ac:dyDescent="0.2">
      <c r="B647" s="5" t="s">
        <v>1910</v>
      </c>
      <c r="F647"/>
      <c r="G647"/>
      <c r="H647"/>
    </row>
    <row r="648" spans="2:8" x14ac:dyDescent="0.2">
      <c r="D648" s="5" t="s">
        <v>703</v>
      </c>
      <c r="F648"/>
      <c r="G648"/>
      <c r="H648"/>
    </row>
    <row r="649" spans="2:8" x14ac:dyDescent="0.2">
      <c r="D649" s="5" t="s">
        <v>704</v>
      </c>
      <c r="F649"/>
      <c r="G649"/>
      <c r="H649"/>
    </row>
    <row r="650" spans="2:8" x14ac:dyDescent="0.2">
      <c r="D650" s="5" t="s">
        <v>705</v>
      </c>
      <c r="F650"/>
      <c r="G650"/>
      <c r="H650"/>
    </row>
    <row r="651" spans="2:8" x14ac:dyDescent="0.2">
      <c r="D651" s="5" t="s">
        <v>711</v>
      </c>
      <c r="F651"/>
      <c r="G651"/>
      <c r="H651"/>
    </row>
    <row r="652" spans="2:8" x14ac:dyDescent="0.2">
      <c r="D652" s="5" t="s">
        <v>712</v>
      </c>
      <c r="F652"/>
      <c r="G652"/>
      <c r="H652"/>
    </row>
    <row r="653" spans="2:8" x14ac:dyDescent="0.2">
      <c r="B653" s="5" t="s">
        <v>1911</v>
      </c>
      <c r="F653"/>
      <c r="G653"/>
      <c r="H653"/>
    </row>
    <row r="654" spans="2:8" x14ac:dyDescent="0.2">
      <c r="D654" s="5" t="s">
        <v>1912</v>
      </c>
      <c r="F654"/>
      <c r="G654"/>
      <c r="H654"/>
    </row>
    <row r="655" spans="2:8" x14ac:dyDescent="0.2">
      <c r="E655" s="5" t="s">
        <v>1913</v>
      </c>
      <c r="F655" s="5">
        <v>7199</v>
      </c>
      <c r="G655" s="5" t="s">
        <v>19</v>
      </c>
      <c r="H655" s="5" t="s">
        <v>1925</v>
      </c>
    </row>
    <row r="656" spans="2:8" x14ac:dyDescent="0.2">
      <c r="D656" s="5" t="s">
        <v>834</v>
      </c>
      <c r="F656"/>
      <c r="G656"/>
      <c r="H656"/>
    </row>
    <row r="657" spans="4:8" x14ac:dyDescent="0.2">
      <c r="D657" s="5" t="s">
        <v>1914</v>
      </c>
      <c r="F657"/>
      <c r="G657"/>
      <c r="H657"/>
    </row>
    <row r="658" spans="4:8" x14ac:dyDescent="0.2">
      <c r="D658" s="5" t="s">
        <v>1915</v>
      </c>
      <c r="F658"/>
      <c r="G658"/>
      <c r="H658"/>
    </row>
    <row r="659" spans="4:8" x14ac:dyDescent="0.2">
      <c r="E659" s="5" t="s">
        <v>1916</v>
      </c>
      <c r="F659" s="5">
        <v>7199</v>
      </c>
      <c r="G659" s="5" t="s">
        <v>19</v>
      </c>
      <c r="H659" s="5" t="s">
        <v>1925</v>
      </c>
    </row>
    <row r="660" spans="4:8" x14ac:dyDescent="0.2">
      <c r="D660" s="5" t="s">
        <v>1917</v>
      </c>
    </row>
  </sheetData>
  <autoFilter ref="A18:H18"/>
  <conditionalFormatting sqref="C17">
    <cfRule type="cellIs" dxfId="5" priority="1" stopIfTrue="1" operator="equal">
      <formula>$B$10</formula>
    </cfRule>
    <cfRule type="cellIs" dxfId="4"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tabColor indexed="11"/>
  </sheetPr>
  <dimension ref="A1:H30"/>
  <sheetViews>
    <sheetView workbookViewId="0">
      <selection activeCell="A19" sqref="A19:E1018"/>
    </sheetView>
  </sheetViews>
  <sheetFormatPr defaultRowHeight="12.75" x14ac:dyDescent="0.2"/>
  <cols>
    <col min="1" max="1" width="12" style="5" customWidth="1"/>
    <col min="2" max="2" width="9.5703125" style="5" customWidth="1"/>
    <col min="3" max="3" width="10.28515625" style="5" customWidth="1"/>
    <col min="4" max="4" width="11" style="5" customWidth="1"/>
    <col min="5" max="5" width="53.42578125" style="5" customWidth="1"/>
    <col min="6" max="6" width="8.85546875" style="5" customWidth="1"/>
    <col min="7" max="7" width="13.28515625" style="5" customWidth="1"/>
    <col min="8" max="8" width="51.85546875" style="5" customWidth="1"/>
    <col min="9" max="16384" width="9.140625" style="11"/>
  </cols>
  <sheetData>
    <row r="1" spans="1:5" ht="23.25" thickBot="1" x14ac:dyDescent="0.25">
      <c r="A1" s="13"/>
      <c r="B1" s="14" t="s">
        <v>11</v>
      </c>
      <c r="C1" s="14" t="s">
        <v>12</v>
      </c>
    </row>
    <row r="2" spans="1:5" ht="22.5" x14ac:dyDescent="0.2">
      <c r="A2" s="18" t="s">
        <v>14</v>
      </c>
      <c r="B2" s="19">
        <f>IF(ISERROR(VALUE(TRIM(CLEAN(MID(C20,FIND("/",C20)+1,FIND(")",C20,1)-FIND("/",C20)-1))))),0,VALUE(TRIM(CLEAN(MID(C20,FIND("/",C20)+1,FIND(")",C20,1)-FIND("/",C20)-1)))))</f>
        <v>1</v>
      </c>
      <c r="C2" s="15">
        <f>IF(ISERROR(VALUE(TRIM(CLEAN(MID(C20,FIND("(",C20)+1,FIND("/",C20,1)-FIND("(",C20)-1))))),0,VALUE(TRIM(CLEAN(MID(C20,FIND("(",C20)+1,FIND("/",C20,1)-FIND("(",C20)-1)))))</f>
        <v>1</v>
      </c>
    </row>
    <row r="3" spans="1:5" ht="22.5" x14ac:dyDescent="0.2">
      <c r="A3" s="20" t="s">
        <v>15</v>
      </c>
      <c r="B3" s="21">
        <f>IF(ISERROR(VALUE(TRIM(CLEAN(MID(C21,FIND("/",C21)+1,FIND(")",C21,1)-FIND("/",C21)-1))))),0,VALUE(TRIM(CLEAN(MID(C21,FIND("/",C21)+1,FIND(")",C21,1)-FIND("/",C21)-1)))))</f>
        <v>0</v>
      </c>
      <c r="C3" s="16">
        <f>IF(ISERROR(VALUE(TRIM(CLEAN(MID(C21,FIND("(",C21)+1,FIND("/",C21,1)-FIND("(",C21)-1))))),0,VALUE(TRIM(CLEAN(MID(C21,FIND("(",C21)+1,FIND("/",C21,1)-FIND("(",C21)-1)))))</f>
        <v>0</v>
      </c>
      <c r="E3" s="29" t="s">
        <v>1</v>
      </c>
    </row>
    <row r="4" spans="1:5" ht="22.5" x14ac:dyDescent="0.2">
      <c r="A4" s="20" t="s">
        <v>16</v>
      </c>
      <c r="B4" s="21">
        <f>IF(ISERROR(VALUE(TRIM(CLEAN(MID(C23,FIND("/",C23)+1,FIND(")",C23,1)-FIND("/",C23)-1))))),0,VALUE(TRIM(CLEAN(MID(C23,FIND("/",C23)+1,FIND(")",C23,1)-FIND("/",C23)-1)))))</f>
        <v>10</v>
      </c>
      <c r="C4" s="16">
        <f>IF(ISERROR(VALUE(TRIM(CLEAN(MID(C23,FIND("(",C23)+1,FIND("/",C23,1)-FIND("(",C23)-1))))),0,VALUE(TRIM(CLEAN(MID(C23,FIND("(",C23)+1,FIND("/",C23,1)-FIND("(",C23)-1)))))</f>
        <v>10</v>
      </c>
      <c r="E4" s="29" t="s">
        <v>2</v>
      </c>
    </row>
    <row r="5" spans="1:5" ht="22.5" x14ac:dyDescent="0.2">
      <c r="A5" s="20" t="s">
        <v>17</v>
      </c>
      <c r="B5" s="21">
        <f>IF(ISERROR(VALUE(TRIM(CLEAN(MID(C24,FIND("/",C24)+1,FIND(")",C24,1)-FIND("/",C24)-1))))),0,VALUE(TRIM(CLEAN(MID(C24,FIND("/",C24)+1,FIND(")",C24,1)-FIND("/",C24)-1)))))</f>
        <v>5</v>
      </c>
      <c r="C5" s="16">
        <f>IF(ISERROR(VALUE(TRIM(CLEAN(MID(C24,FIND("(",C24)+1,FIND("/",C24,1)-FIND("(",C24)-1))))),0,VALUE(TRIM(CLEAN(MID(C24,FIND("(",C24)+1,FIND("/",C24,1)-FIND("(",C24)-1)))))</f>
        <v>5</v>
      </c>
    </row>
    <row r="6" spans="1:5" x14ac:dyDescent="0.2">
      <c r="A6" s="20"/>
      <c r="B6" s="21"/>
      <c r="C6" s="16"/>
    </row>
    <row r="7" spans="1:5" ht="13.5" thickBot="1" x14ac:dyDescent="0.25">
      <c r="A7" s="22" t="s">
        <v>13</v>
      </c>
      <c r="B7" s="23">
        <f>SUM(B2:B5)</f>
        <v>16</v>
      </c>
      <c r="C7" s="17">
        <f>SUM(C2:C5)</f>
        <v>16</v>
      </c>
    </row>
    <row r="8" spans="1:5" x14ac:dyDescent="0.2">
      <c r="A8" s="12"/>
      <c r="B8" s="7"/>
      <c r="C8" s="7"/>
    </row>
    <row r="9" spans="1:5" ht="13.5" thickBot="1" x14ac:dyDescent="0.25">
      <c r="A9" s="10"/>
      <c r="B9" s="7"/>
      <c r="C9" s="7"/>
    </row>
    <row r="10" spans="1:5" ht="24" thickTop="1" thickBot="1" x14ac:dyDescent="0.25">
      <c r="A10" s="24" t="s">
        <v>18</v>
      </c>
      <c r="B10" s="26">
        <f>B7-C7</f>
        <v>0</v>
      </c>
      <c r="C10" s="27"/>
    </row>
    <row r="11" spans="1:5" ht="13.5" thickBot="1" x14ac:dyDescent="0.25">
      <c r="A11" s="25" t="s">
        <v>21</v>
      </c>
      <c r="B11" s="28"/>
      <c r="C11" s="28">
        <f t="shared" ref="C11:C16" si="0">COUNTIF(G:G,A11)</f>
        <v>0</v>
      </c>
    </row>
    <row r="12" spans="1:5" ht="23.25" thickBot="1" x14ac:dyDescent="0.25">
      <c r="A12" s="25" t="s">
        <v>22</v>
      </c>
      <c r="B12" s="28"/>
      <c r="C12" s="28">
        <f t="shared" si="0"/>
        <v>0</v>
      </c>
    </row>
    <row r="13" spans="1:5" ht="23.25" thickBot="1" x14ac:dyDescent="0.25">
      <c r="A13" s="25" t="s">
        <v>23</v>
      </c>
      <c r="B13" s="28"/>
      <c r="C13" s="28">
        <f t="shared" si="0"/>
        <v>0</v>
      </c>
    </row>
    <row r="14" spans="1:5" ht="23.25" thickBot="1" x14ac:dyDescent="0.25">
      <c r="A14" s="25" t="s">
        <v>24</v>
      </c>
      <c r="B14" s="28"/>
      <c r="C14" s="28">
        <f t="shared" si="0"/>
        <v>0</v>
      </c>
    </row>
    <row r="15" spans="1:5" ht="13.5" thickBot="1" x14ac:dyDescent="0.25">
      <c r="A15" s="25" t="s">
        <v>19</v>
      </c>
      <c r="B15" s="28"/>
      <c r="C15" s="28">
        <f t="shared" si="0"/>
        <v>0</v>
      </c>
    </row>
    <row r="16" spans="1:5" ht="23.25" thickBot="1" x14ac:dyDescent="0.25">
      <c r="A16" s="25" t="s">
        <v>20</v>
      </c>
      <c r="B16" s="28"/>
      <c r="C16" s="28">
        <f t="shared" si="0"/>
        <v>0</v>
      </c>
    </row>
    <row r="17" spans="1:8" x14ac:dyDescent="0.2">
      <c r="C17" s="5">
        <f>SUM(C11:C16)</f>
        <v>0</v>
      </c>
    </row>
    <row r="18" spans="1:8" customFormat="1" ht="23.25" x14ac:dyDescent="0.25">
      <c r="A18" s="4" t="s">
        <v>3</v>
      </c>
      <c r="B18" s="6" t="s">
        <v>4</v>
      </c>
      <c r="C18" s="8" t="s">
        <v>6</v>
      </c>
      <c r="D18" s="8" t="s">
        <v>7</v>
      </c>
      <c r="E18" s="8" t="s">
        <v>5</v>
      </c>
      <c r="F18" s="3" t="s">
        <v>10</v>
      </c>
      <c r="G18" s="1" t="s">
        <v>9</v>
      </c>
      <c r="H18" s="2" t="s">
        <v>8</v>
      </c>
    </row>
    <row r="19" spans="1:8" x14ac:dyDescent="0.2">
      <c r="A19" s="5" t="s">
        <v>1919</v>
      </c>
    </row>
    <row r="20" spans="1:8" x14ac:dyDescent="0.2">
      <c r="C20" s="5" t="s">
        <v>703</v>
      </c>
    </row>
    <row r="21" spans="1:8" x14ac:dyDescent="0.2">
      <c r="C21" s="5" t="s">
        <v>704</v>
      </c>
    </row>
    <row r="22" spans="1:8" x14ac:dyDescent="0.2">
      <c r="C22" s="5" t="s">
        <v>705</v>
      </c>
    </row>
    <row r="23" spans="1:8" x14ac:dyDescent="0.2">
      <c r="C23" s="5" t="s">
        <v>1920</v>
      </c>
    </row>
    <row r="24" spans="1:8" x14ac:dyDescent="0.2">
      <c r="C24" s="5" t="s">
        <v>1034</v>
      </c>
    </row>
    <row r="25" spans="1:8" x14ac:dyDescent="0.2">
      <c r="B25" s="5" t="s">
        <v>1921</v>
      </c>
    </row>
    <row r="26" spans="1:8" x14ac:dyDescent="0.2">
      <c r="D26" s="5" t="s">
        <v>703</v>
      </c>
    </row>
    <row r="27" spans="1:8" x14ac:dyDescent="0.2">
      <c r="D27" s="5" t="s">
        <v>704</v>
      </c>
    </row>
    <row r="28" spans="1:8" x14ac:dyDescent="0.2">
      <c r="D28" s="5" t="s">
        <v>705</v>
      </c>
    </row>
    <row r="29" spans="1:8" x14ac:dyDescent="0.2">
      <c r="D29" s="5" t="s">
        <v>1920</v>
      </c>
    </row>
    <row r="30" spans="1:8" x14ac:dyDescent="0.2">
      <c r="D30" s="5" t="s">
        <v>1034</v>
      </c>
    </row>
  </sheetData>
  <autoFilter ref="A18:H18"/>
  <conditionalFormatting sqref="C17">
    <cfRule type="cellIs" dxfId="3" priority="1" stopIfTrue="1" operator="equal">
      <formula>$B$10</formula>
    </cfRule>
    <cfRule type="cellIs" dxfId="2" priority="2" stopIfTrue="1" operator="notEqual">
      <formula>$B$10</formula>
    </cfRule>
  </conditionalFormatting>
  <dataValidations count="1">
    <dataValidation type="list" allowBlank="1" showInputMessage="1" showErrorMessage="1" sqref="G19:G65536">
      <formula1>$A$11:$A$16</formula1>
    </dataValidation>
  </dataValidations>
  <hyperlinks>
    <hyperlink ref="E3" location="Menu!A1" display="Menu"/>
    <hyperlink ref="E4" location="Summary!A1" display="Summary"/>
  </hyperlinks>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A0B86E78E8B09C4A8696B687DC246251" ma:contentTypeVersion="0" ma:contentTypeDescription="Create a new document." ma:contentTypeScope="" ma:versionID="9744701e24676886e5666797f0297733">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B5996EDA-F953-4192-A0B1-F01414AF3359}">
  <ds:schemaRefs>
    <ds:schemaRef ds:uri="http://schemas.microsoft.com/office/2006/metadata/longProperties"/>
  </ds:schemaRefs>
</ds:datastoreItem>
</file>

<file path=customXml/itemProps2.xml><?xml version="1.0" encoding="utf-8"?>
<ds:datastoreItem xmlns:ds="http://schemas.openxmlformats.org/officeDocument/2006/customXml" ds:itemID="{C63CE5A0-449F-46F9-8B28-6C5451E8FEAB}">
  <ds:schemaRefs>
    <ds:schemaRef ds:uri="http://schemas.microsoft.com/sharepoint/v3/contenttype/forms"/>
  </ds:schemaRefs>
</ds:datastoreItem>
</file>

<file path=customXml/itemProps3.xml><?xml version="1.0" encoding="utf-8"?>
<ds:datastoreItem xmlns:ds="http://schemas.openxmlformats.org/officeDocument/2006/customXml" ds:itemID="{22F78F1A-C7C7-4C96-9A0B-09B988F41E90}">
  <ds:schemaRefs>
    <ds:schemaRef ds:uri="http://schemas.microsoft.com/office/2006/metadata/properties"/>
    <ds:schemaRef ds:uri="http://purl.org/dc/elements/1.1/"/>
    <ds:schemaRef ds:uri="http://schemas.openxmlformats.org/package/2006/metadata/core-properties"/>
    <ds:schemaRef ds:uri="http://schemas.microsoft.com/office/2006/documentManagement/types"/>
    <ds:schemaRef ds:uri="http://purl.org/dc/terms/"/>
    <ds:schemaRef ds:uri="http://www.w3.org/XML/1998/namespace"/>
    <ds:schemaRef ds:uri="http://purl.org/dc/dcmitype/"/>
    <ds:schemaRef ds:uri="http://schemas.microsoft.com/office/infopath/2007/PartnerControls"/>
  </ds:schemaRefs>
</ds:datastoreItem>
</file>

<file path=customXml/itemProps4.xml><?xml version="1.0" encoding="utf-8"?>
<ds:datastoreItem xmlns:ds="http://schemas.openxmlformats.org/officeDocument/2006/customXml" ds:itemID="{9251CD1B-58C8-42AF-9C88-D1F9EEC112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96</vt:i4>
      </vt:variant>
    </vt:vector>
  </HeadingPairs>
  <TitlesOfParts>
    <vt:vector size="96" baseType="lpstr">
      <vt:lpstr>Menu</vt:lpstr>
      <vt:lpstr>Summary</vt:lpstr>
      <vt:lpstr>Template</vt:lpstr>
      <vt:lpstr>CSV_Lists</vt:lpstr>
      <vt:lpstr>ABORTAIR2GNDOPTST</vt:lpstr>
      <vt:lpstr>ABORTCMSCINITIATEDOPTST</vt:lpstr>
      <vt:lpstr>ABORTEPOPTST</vt:lpstr>
      <vt:lpstr>ABORTPWRUPOPTST</vt:lpstr>
      <vt:lpstr>ACBE_GENTESTLOAD</vt:lpstr>
      <vt:lpstr>ACBE_LOGIC</vt:lpstr>
      <vt:lpstr>ACINTERLOCK</vt:lpstr>
      <vt:lpstr>ADJATRUCCONTROL</vt:lpstr>
      <vt:lpstr>ADJATUBUSSRCPRIORITY</vt:lpstr>
      <vt:lpstr>ADJGCUUFAILSAFE</vt:lpstr>
      <vt:lpstr>ADJL235BUSSRCPRIORITY</vt:lpstr>
      <vt:lpstr>ADJR235BUSSRCPRIORITY</vt:lpstr>
      <vt:lpstr>AEP_POWER_AVAILABILITY</vt:lpstr>
      <vt:lpstr>AEPC</vt:lpstr>
      <vt:lpstr>AEPCCHATTERPROTECTION</vt:lpstr>
      <vt:lpstr>AEPCCONTROL</vt:lpstr>
      <vt:lpstr>AEPCFTCPROTECTION</vt:lpstr>
      <vt:lpstr>AEPRECPTLAMP</vt:lpstr>
      <vt:lpstr>AEPSWTLAMP</vt:lpstr>
      <vt:lpstr>AFSR_CALLBACK</vt:lpstr>
      <vt:lpstr>AFTEPATRUHVDCUVPROT</vt:lpstr>
      <vt:lpstr>AFTEPATRUOTPROT</vt:lpstr>
      <vt:lpstr>AFTEPATRUSATURATION</vt:lpstr>
      <vt:lpstr>AFTEPMAINTENANCE</vt:lpstr>
      <vt:lpstr>AGCUOC2LOCKRESETS</vt:lpstr>
      <vt:lpstr>AIR2GNDOPTST</vt:lpstr>
      <vt:lpstr>AIR2GNDOPTSTMODE1</vt:lpstr>
      <vt:lpstr>AIR2GNDOPTSTMODE1_HOTBATTERYFE</vt:lpstr>
      <vt:lpstr>AIR2GNDOPTSTMODE2</vt:lpstr>
      <vt:lpstr>AIR2GNDOPTSTMODE2_FAN1</vt:lpstr>
      <vt:lpstr>AIR2GNDOPTSTMODE2_FAN2</vt:lpstr>
      <vt:lpstr>AIR2GNDOPTSTTOPLEVEL</vt:lpstr>
      <vt:lpstr>ANY_LRUFAILED</vt:lpstr>
      <vt:lpstr>ASGENGSTART</vt:lpstr>
      <vt:lpstr>ASGOC2ISOLATION</vt:lpstr>
      <vt:lpstr>ASGOC2PROTECTION</vt:lpstr>
      <vt:lpstr>ASGOCISOLATION</vt:lpstr>
      <vt:lpstr>ASGOCPROTECTION</vt:lpstr>
      <vt:lpstr>ASGOF1PROTECTION</vt:lpstr>
      <vt:lpstr>ASGOF2PROTECTION</vt:lpstr>
      <vt:lpstr>ASGSRDFAILSAFEPROTECTION</vt:lpstr>
      <vt:lpstr>ASGUFPROTECTION</vt:lpstr>
      <vt:lpstr>ASGUNDERSPEED</vt:lpstr>
      <vt:lpstr>ASGUSCYCLING</vt:lpstr>
      <vt:lpstr>ASGUV2PROTECTION</vt:lpstr>
      <vt:lpstr>ATRUC</vt:lpstr>
      <vt:lpstr>ATRUCFTCPROTECTION</vt:lpstr>
      <vt:lpstr>ATRUCFTO</vt:lpstr>
      <vt:lpstr>ATRUCPROTTRIPRQST</vt:lpstr>
      <vt:lpstr>ATRUMAINTENANCE</vt:lpstr>
      <vt:lpstr>ATRURIPPLE1PROT</vt:lpstr>
      <vt:lpstr>ATRURIPPLE2PROT</vt:lpstr>
      <vt:lpstr>ATRURIPPLEPROT</vt:lpstr>
      <vt:lpstr>ATRUUNBVOLTPROT</vt:lpstr>
      <vt:lpstr>ATUC</vt:lpstr>
      <vt:lpstr>ATUCFTCPROTECTION</vt:lpstr>
      <vt:lpstr>ATUCFTO1</vt:lpstr>
      <vt:lpstr>ATUCFTO2</vt:lpstr>
      <vt:lpstr>ATUCFTO3</vt:lpstr>
      <vt:lpstr>BBRLY</vt:lpstr>
      <vt:lpstr>BBRLYFTCPROTECTION</vt:lpstr>
      <vt:lpstr>BBRLYFTO</vt:lpstr>
      <vt:lpstr>BEARINGROTORPROTECTION</vt:lpstr>
      <vt:lpstr>BITE_EXECUTIVE</vt:lpstr>
      <vt:lpstr>BITE_HOOKS_AND_HANDLES</vt:lpstr>
      <vt:lpstr>BITE_IO</vt:lpstr>
      <vt:lpstr>BITE_UPDATE_DESIGN_NOTES</vt:lpstr>
      <vt:lpstr>BITE_UPDATE_SOFTWARE_HOOKS_OTH</vt:lpstr>
      <vt:lpstr>BUSATRUPROTECTION</vt:lpstr>
      <vt:lpstr>BUSOFFMAINTENANCE</vt:lpstr>
      <vt:lpstr>BUSSYNOPTICS</vt:lpstr>
      <vt:lpstr>BUSUVPROTECTON</vt:lpstr>
      <vt:lpstr>CALCULATE_PMGFREQUENCY</vt:lpstr>
      <vt:lpstr>CHATTERPROTECTION</vt:lpstr>
      <vt:lpstr>CMSCINITIATEDOPTST</vt:lpstr>
      <vt:lpstr>CMSCINITIATEDOPTST_ATRUCCACTRI</vt:lpstr>
      <vt:lpstr>CMSCINITIATEDOPTST_ATRUCEMPTRI</vt:lpstr>
      <vt:lpstr>CMSCINITIATEDOPTST_STARTCONTAC</vt:lpstr>
      <vt:lpstr>CMSCINITIATEDOPTSTTOPLEVEL</vt:lpstr>
      <vt:lpstr>CMSCSAFEINLKPROT</vt:lpstr>
      <vt:lpstr>CONTACTORPROTCOORD</vt:lpstr>
      <vt:lpstr>CONDITIONFIXEDTD</vt:lpstr>
      <vt:lpstr>CONDITIONFIXEDTDWITHINHIBIT</vt:lpstr>
      <vt:lpstr>DCCONTENTPROTECTION</vt:lpstr>
      <vt:lpstr>DCLINKMONPROTECTION</vt:lpstr>
      <vt:lpstr>DEBOUNCE_OWN235BUSRAWTARSRC</vt:lpstr>
      <vt:lpstr>DETERMINE_AIRCRAFTMODE</vt:lpstr>
      <vt:lpstr>DETERMINE_AIRCRAFTMODE_LIBRARY</vt:lpstr>
      <vt:lpstr>DETERMINE_OVTPUFAULT</vt:lpstr>
      <vt:lpstr>DPPROTECTION</vt:lpstr>
      <vt:lpstr>DUALASGCONTROL</vt:lpstr>
      <vt:lpstr>DUALASGMODE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Veeran, Venkatachalam      Export License Required - US HCL TECHNOLOGIES LIMITED</dc:creator>
  <cp:keywords>Technical Data</cp:keywords>
  <cp:lastModifiedBy>Manjunath Rajashekar</cp:lastModifiedBy>
  <cp:lastPrinted>2007-09-06T23:01:21Z</cp:lastPrinted>
  <dcterms:created xsi:type="dcterms:W3CDTF">2007-08-14T19:42:07Z</dcterms:created>
  <dcterms:modified xsi:type="dcterms:W3CDTF">2019-04-16T05:38:01Z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TitusGUID">
    <vt:lpwstr>c257ce07-c2f4-4f5d-9e45-3a75a4661703</vt:lpwstr>
  </property>
  <property fmtid="{D5CDD505-2E9C-101B-9397-08002B2CF9AE}" pid="4" name="UTCTechnicalData">
    <vt:lpwstr>Yes</vt:lpwstr>
  </property>
  <property fmtid="{D5CDD505-2E9C-101B-9397-08002B2CF9AE}" pid="5" name="UTCTechnicalDataKeyword">
    <vt:lpwstr>Technical Data</vt:lpwstr>
  </property>
</Properties>
</file>