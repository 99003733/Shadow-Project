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blr1ns5300\ES\ES\Software\787_EPGS\Products\workspace\Manjunath\SCA\SCA_Gaps_Reports\GCU_SCA_REPORT_4-1-2019\GCU_SCA_REPORT_Final\"/>
    </mc:Choice>
  </mc:AlternateContent>
  <bookViews>
    <workbookView xWindow="19230" yWindow="210" windowWidth="18765" windowHeight="11520" tabRatio="875" firstSheet="1" activeTab="1"/>
  </bookViews>
  <sheets>
    <sheet name="Menu" sheetId="30" r:id="rId1"/>
    <sheet name="Summary" sheetId="228" r:id="rId2"/>
    <sheet name="Template" sheetId="37" r:id="rId3"/>
    <sheet name="CSV_Lists" sheetId="229" r:id="rId4"/>
    <sheet name="RECONFIGEPONLYMES" sheetId="230" r:id="rId5"/>
    <sheet name="RECONFIGSTATUS" sheetId="231" r:id="rId6"/>
    <sheet name="RFMCINITIATEDOPTST" sheetId="286" r:id="rId7"/>
    <sheet name="RFMCINITIATEDOPTSTTOPLEVEL" sheetId="233" r:id="rId8"/>
    <sheet name="RINGBTB" sheetId="234" r:id="rId9"/>
    <sheet name="RINGBTBFTCPROTECTION" sheetId="235" r:id="rId10"/>
    <sheet name="RINGBTBFTO" sheetId="236" r:id="rId11"/>
    <sheet name="ROLSPROTECTION" sheetId="237" r:id="rId12"/>
    <sheet name="ROTORBURSTPROTECTION" sheetId="238" r:id="rId13"/>
    <sheet name="RT_ENAB" sheetId="239" r:id="rId14"/>
    <sheet name="SELECTINPUTS" sheetId="240" r:id="rId15"/>
    <sheet name="SELECTOUTPUTS" sheetId="241" r:id="rId16"/>
    <sheet name="SNGLSRC_SPLITSYS_ALTERNATEPATH" sheetId="242" r:id="rId17"/>
    <sheet name="SOFTCALIBRATION" sheetId="243" r:id="rId18"/>
    <sheet name="SOFTCALPROCESSING" sheetId="244" r:id="rId19"/>
    <sheet name="SPLIT235AND115SYS" sheetId="245" r:id="rId20"/>
    <sheet name="SRCID" sheetId="246" r:id="rId21"/>
    <sheet name="SRCPRIORITYTBL" sheetId="247" r:id="rId22"/>
    <sheet name="SSIDESNGLSRC115TO235XXER" sheetId="248" r:id="rId23"/>
    <sheet name="SSIDESNGLSRC235TO115XFER" sheetId="249" r:id="rId24"/>
    <sheet name="SSX_POSTINIT" sheetId="287" r:id="rId25"/>
    <sheet name="SSX_PREINIT" sheetId="289" r:id="rId26"/>
    <sheet name="STAGGER_XFERS" sheetId="252" r:id="rId27"/>
    <sheet name="STARTCONTCONTROL" sheetId="253" r:id="rId28"/>
    <sheet name="TBDPPROTECTION" sheetId="254" r:id="rId29"/>
    <sheet name="TIEBTB" sheetId="255" r:id="rId30"/>
    <sheet name="TIEBTBFTCPROTECTION" sheetId="256" r:id="rId31"/>
    <sheet name="TIEBTBFTO1" sheetId="257" r:id="rId32"/>
    <sheet name="TIEBTBFTO2" sheetId="258" r:id="rId33"/>
    <sheet name="UPFPROTECTION" sheetId="259" r:id="rId34"/>
    <sheet name="UNDERPROTECTIONWITHINHIBITANDC" sheetId="260" r:id="rId35"/>
    <sheet name="V235ATRUHVDCUVPROT" sheetId="261" r:id="rId36"/>
    <sheet name="V235ATRUOTPROT" sheetId="262" r:id="rId37"/>
    <sheet name="V235ATRUSATURATION" sheetId="263" r:id="rId38"/>
    <sheet name="V235BUS_PATH" sheetId="264" r:id="rId39"/>
    <sheet name="V235BUSXFER_ENGINE" sheetId="265" r:id="rId40"/>
    <sheet name="V270BUSSTATE" sheetId="266" r:id="rId41"/>
    <sheet name="V270BUSXFER_ENGINE" sheetId="267" r:id="rId42"/>
    <sheet name="VFSGASGPROTECTIONS" sheetId="268" r:id="rId43"/>
    <sheet name="VFSGDISCMAINTENANCE" sheetId="269" r:id="rId44"/>
    <sheet name="VFSGDISCONNECT" sheetId="270" r:id="rId45"/>
    <sheet name="VFSGOC2ISOLATION" sheetId="271" r:id="rId46"/>
    <sheet name="VFSGOC2PROTECTION" sheetId="272" r:id="rId47"/>
    <sheet name="VFSGOCISOLATION" sheetId="273" r:id="rId48"/>
    <sheet name="VFSGOCPROTECTION" sheetId="274" r:id="rId49"/>
    <sheet name="VFSGOCPROTECTIONUS" sheetId="275" r:id="rId50"/>
    <sheet name="VFSGOFPROTECTION" sheetId="276" r:id="rId51"/>
    <sheet name="VFSGOILPRESSUREMONITOR" sheetId="277" r:id="rId52"/>
    <sheet name="VFSGSRDFAILSAFEPROTECTION" sheetId="278" r:id="rId53"/>
    <sheet name="VFSGUF1PROTECTION" sheetId="279" r:id="rId54"/>
    <sheet name="VFSGUNDERSPEED" sheetId="280" r:id="rId55"/>
    <sheet name="VFSGUV2PROTECTION" sheetId="281" r:id="rId56"/>
    <sheet name="VRCONTROL" sheetId="282" r:id="rId57"/>
    <sheet name="XFERMODES" sheetId="283" r:id="rId58"/>
    <sheet name="XFERSTATE" sheetId="284" r:id="rId59"/>
    <sheet name="XFERSTATUS" sheetId="285" r:id="rId60"/>
  </sheets>
  <externalReferences>
    <externalReference r:id="rId61"/>
  </externalReferences>
  <definedNames>
    <definedName name="_xlnm._FilterDatabase" localSheetId="4" hidden="1">RECONFIGEPONLYMES!$A$18:$H$18</definedName>
    <definedName name="_xlnm._FilterDatabase" localSheetId="5" hidden="1">RECONFIGSTATUS!$A$18:$H$18</definedName>
    <definedName name="_xlnm._FilterDatabase" localSheetId="6" hidden="1">RFMCINITIATEDOPTST!$A$18:$H$18</definedName>
    <definedName name="_xlnm._FilterDatabase" localSheetId="7" hidden="1">RFMCINITIATEDOPTSTTOPLEVEL!$A$18:$H$18</definedName>
    <definedName name="_xlnm._FilterDatabase" localSheetId="8" hidden="1">RINGBTB!$A$18:$H$18</definedName>
    <definedName name="_xlnm._FilterDatabase" localSheetId="9" hidden="1">RINGBTBFTCPROTECTION!$A$18:$H$18</definedName>
    <definedName name="_xlnm._FilterDatabase" localSheetId="10" hidden="1">RINGBTBFTO!$A$18:$H$18</definedName>
    <definedName name="_xlnm._FilterDatabase" localSheetId="11" hidden="1">ROLSPROTECTION!$A$18:$H$18</definedName>
    <definedName name="_xlnm._FilterDatabase" localSheetId="12" hidden="1">ROTORBURSTPROTECTION!$A$18:$H$18</definedName>
    <definedName name="_xlnm._FilterDatabase" localSheetId="13" hidden="1">RT_ENAB!$A$18:$H$18</definedName>
    <definedName name="_xlnm._FilterDatabase" localSheetId="14" hidden="1">SELECTINPUTS!$A$18:$H$18</definedName>
    <definedName name="_xlnm._FilterDatabase" localSheetId="15" hidden="1">SELECTOUTPUTS!$A$18:$H$18</definedName>
    <definedName name="_xlnm._FilterDatabase" localSheetId="16" hidden="1">SNGLSRC_SPLITSYS_ALTERNATEPATH!$A$18:$H$18</definedName>
    <definedName name="_xlnm._FilterDatabase" localSheetId="17" hidden="1">SOFTCALIBRATION!$A$18:$H$18</definedName>
    <definedName name="_xlnm._FilterDatabase" localSheetId="18" hidden="1">SOFTCALPROCESSING!$A$18:$H$18</definedName>
    <definedName name="_xlnm._FilterDatabase" localSheetId="19" hidden="1">SPLIT235AND115SYS!$A$18:$H$18</definedName>
    <definedName name="_xlnm._FilterDatabase" localSheetId="20" hidden="1">SRCID!$A$18:$H$18</definedName>
    <definedName name="_xlnm._FilterDatabase" localSheetId="21" hidden="1">SRCPRIORITYTBL!$A$18:$H$18</definedName>
    <definedName name="_xlnm._FilterDatabase" localSheetId="22" hidden="1">SSIDESNGLSRC115TO235XXER!$A$18:$H$18</definedName>
    <definedName name="_xlnm._FilterDatabase" localSheetId="23" hidden="1">SSIDESNGLSRC235TO115XFER!$A$18:$H$18</definedName>
    <definedName name="_xlnm._FilterDatabase" localSheetId="24" hidden="1">SSX_POSTINIT!$A$18:$H$18</definedName>
    <definedName name="_xlnm._FilterDatabase" localSheetId="25" hidden="1">SSX_PREINIT!$A$18:$H$18</definedName>
    <definedName name="_xlnm._FilterDatabase" localSheetId="26" hidden="1">STAGGER_XFERS!$A$18:$H$18</definedName>
    <definedName name="_xlnm._FilterDatabase" localSheetId="27" hidden="1">STARTCONTCONTROL!$A$18:$H$18</definedName>
    <definedName name="_xlnm._FilterDatabase" localSheetId="28" hidden="1">TBDPPROTECTION!$A$18:$H$18</definedName>
    <definedName name="_xlnm._FilterDatabase" localSheetId="2" hidden="1">Template!$A$18:$H$18</definedName>
    <definedName name="_xlnm._FilterDatabase" localSheetId="29" hidden="1">TIEBTB!$A$18:$H$18</definedName>
    <definedName name="_xlnm._FilterDatabase" localSheetId="30" hidden="1">TIEBTBFTCPROTECTION!$A$18:$H$18</definedName>
    <definedName name="_xlnm._FilterDatabase" localSheetId="31" hidden="1">TIEBTBFTO1!$A$18:$H$18</definedName>
    <definedName name="_xlnm._FilterDatabase" localSheetId="32" hidden="1">TIEBTBFTO2!$A$18:$H$18</definedName>
    <definedName name="_xlnm._FilterDatabase" localSheetId="34" hidden="1">UNDERPROTECTIONWITHINHIBITANDC!$A$18:$H$18</definedName>
    <definedName name="_xlnm._FilterDatabase" localSheetId="33" hidden="1">UPFPROTECTION!$A$18:$H$18</definedName>
    <definedName name="_xlnm._FilterDatabase" localSheetId="35" hidden="1">V235ATRUHVDCUVPROT!$A$18:$H$18</definedName>
    <definedName name="_xlnm._FilterDatabase" localSheetId="36" hidden="1">V235ATRUOTPROT!$A$18:$H$18</definedName>
    <definedName name="_xlnm._FilterDatabase" localSheetId="37" hidden="1">V235ATRUSATURATION!$A$18:$H$18</definedName>
    <definedName name="_xlnm._FilterDatabase" localSheetId="38" hidden="1">V235BUS_PATH!$A$18:$H$18</definedName>
    <definedName name="_xlnm._FilterDatabase" localSheetId="39" hidden="1">V235BUSXFER_ENGINE!$A$18:$H$18</definedName>
    <definedName name="_xlnm._FilterDatabase" localSheetId="40" hidden="1">V270BUSSTATE!$A$18:$H$18</definedName>
    <definedName name="_xlnm._FilterDatabase" localSheetId="41" hidden="1">V270BUSXFER_ENGINE!$A$18:$H$18</definedName>
    <definedName name="_xlnm._FilterDatabase" localSheetId="42" hidden="1">VFSGASGPROTECTIONS!$A$18:$H$18</definedName>
    <definedName name="_xlnm._FilterDatabase" localSheetId="43" hidden="1">VFSGDISCMAINTENANCE!$A$18:$H$18</definedName>
    <definedName name="_xlnm._FilterDatabase" localSheetId="44" hidden="1">VFSGDISCONNECT!$A$18:$H$18</definedName>
    <definedName name="_xlnm._FilterDatabase" localSheetId="45" hidden="1">VFSGOC2ISOLATION!$A$18:$H$18</definedName>
    <definedName name="_xlnm._FilterDatabase" localSheetId="46" hidden="1">VFSGOC2PROTECTION!$A$18:$H$18</definedName>
    <definedName name="_xlnm._FilterDatabase" localSheetId="47" hidden="1">VFSGOCISOLATION!$A$18:$H$18</definedName>
    <definedName name="_xlnm._FilterDatabase" localSheetId="48" hidden="1">VFSGOCPROTECTION!$A$18:$H$18</definedName>
    <definedName name="_xlnm._FilterDatabase" localSheetId="49" hidden="1">VFSGOCPROTECTIONUS!$A$18:$H$18</definedName>
    <definedName name="_xlnm._FilterDatabase" localSheetId="50" hidden="1">VFSGOFPROTECTION!$A$18:$H$18</definedName>
    <definedName name="_xlnm._FilterDatabase" localSheetId="51" hidden="1">VFSGOILPRESSUREMONITOR!$A$18:$H$18</definedName>
    <definedName name="_xlnm._FilterDatabase" localSheetId="52" hidden="1">VFSGSRDFAILSAFEPROTECTION!$A$18:$H$18</definedName>
    <definedName name="_xlnm._FilterDatabase" localSheetId="53" hidden="1">VFSGUF1PROTECTION!$A$18:$H$18</definedName>
    <definedName name="_xlnm._FilterDatabase" localSheetId="54" hidden="1">VFSGUNDERSPEED!$A$18:$H$18</definedName>
    <definedName name="_xlnm._FilterDatabase" localSheetId="55" hidden="1">VFSGUV2PROTECTION!$A$18:$H$18</definedName>
    <definedName name="_xlnm._FilterDatabase" localSheetId="56" hidden="1">VRCONTROL!$A$18:$H$18</definedName>
    <definedName name="_xlnm._FilterDatabase" localSheetId="57" hidden="1">XFERMODES!$A$18:$H$18</definedName>
    <definedName name="_xlnm._FilterDatabase" localSheetId="58" hidden="1">XFERSTATE!$A$18:$H$18</definedName>
    <definedName name="_xlnm._FilterDatabase" localSheetId="59" hidden="1">XFERSTATUS!$A$18:$H$18</definedName>
    <definedName name="Action_Resolution" localSheetId="4">#REF!</definedName>
    <definedName name="Action_Resolution" localSheetId="5">#REF!</definedName>
    <definedName name="Action_Resolution" localSheetId="6">#REF!</definedName>
    <definedName name="Action_Resolution" localSheetId="7">#REF!</definedName>
    <definedName name="Action_Resolution" localSheetId="8">#REF!</definedName>
    <definedName name="Action_Resolution" localSheetId="9">#REF!</definedName>
    <definedName name="Action_Resolution" localSheetId="10">#REF!</definedName>
    <definedName name="Action_Resolution" localSheetId="11">#REF!</definedName>
    <definedName name="Action_Resolution" localSheetId="12">#REF!</definedName>
    <definedName name="Action_Resolution" localSheetId="13">#REF!</definedName>
    <definedName name="Action_Resolution" localSheetId="14">#REF!</definedName>
    <definedName name="Action_Resolution" localSheetId="15">#REF!</definedName>
    <definedName name="Action_Resolution" localSheetId="16">#REF!</definedName>
    <definedName name="Action_Resolution" localSheetId="17">#REF!</definedName>
    <definedName name="Action_Resolution" localSheetId="18">#REF!</definedName>
    <definedName name="Action_Resolution" localSheetId="19">#REF!</definedName>
    <definedName name="Action_Resolution" localSheetId="20">#REF!</definedName>
    <definedName name="Action_Resolution" localSheetId="21">#REF!</definedName>
    <definedName name="Action_Resolution" localSheetId="22">#REF!</definedName>
    <definedName name="Action_Resolution" localSheetId="23">#REF!</definedName>
    <definedName name="Action_Resolution" localSheetId="24">#REF!</definedName>
    <definedName name="Action_Resolution" localSheetId="25">#REF!</definedName>
    <definedName name="Action_Resolution" localSheetId="26">#REF!</definedName>
    <definedName name="Action_Resolution" localSheetId="27">#REF!</definedName>
    <definedName name="Action_Resolution" localSheetId="28">#REF!</definedName>
    <definedName name="Action_Resolution" localSheetId="29">#REF!</definedName>
    <definedName name="Action_Resolution" localSheetId="30">#REF!</definedName>
    <definedName name="Action_Resolution" localSheetId="31">#REF!</definedName>
    <definedName name="Action_Resolution" localSheetId="32">#REF!</definedName>
    <definedName name="Action_Resolution" localSheetId="34">#REF!</definedName>
    <definedName name="Action_Resolution" localSheetId="33">#REF!</definedName>
    <definedName name="Action_Resolution" localSheetId="35">#REF!</definedName>
    <definedName name="Action_Resolution" localSheetId="36">#REF!</definedName>
    <definedName name="Action_Resolution" localSheetId="37">#REF!</definedName>
    <definedName name="Action_Resolution" localSheetId="38">#REF!</definedName>
    <definedName name="Action_Resolution" localSheetId="39">#REF!</definedName>
    <definedName name="Action_Resolution" localSheetId="40">#REF!</definedName>
    <definedName name="Action_Resolution" localSheetId="41">#REF!</definedName>
    <definedName name="Action_Resolution" localSheetId="42">#REF!</definedName>
    <definedName name="Action_Resolution" localSheetId="43">#REF!</definedName>
    <definedName name="Action_Resolution" localSheetId="44">#REF!</definedName>
    <definedName name="Action_Resolution" localSheetId="45">#REF!</definedName>
    <definedName name="Action_Resolution" localSheetId="46">#REF!</definedName>
    <definedName name="Action_Resolution" localSheetId="47">#REF!</definedName>
    <definedName name="Action_Resolution" localSheetId="48">#REF!</definedName>
    <definedName name="Action_Resolution" localSheetId="49">#REF!</definedName>
    <definedName name="Action_Resolution" localSheetId="50">#REF!</definedName>
    <definedName name="Action_Resolution" localSheetId="51">#REF!</definedName>
    <definedName name="Action_Resolution" localSheetId="52">#REF!</definedName>
    <definedName name="Action_Resolution" localSheetId="53">#REF!</definedName>
    <definedName name="Action_Resolution" localSheetId="54">#REF!</definedName>
    <definedName name="Action_Resolution" localSheetId="55">#REF!</definedName>
    <definedName name="Action_Resolution" localSheetId="56">#REF!</definedName>
    <definedName name="Action_Resolution" localSheetId="57">#REF!</definedName>
    <definedName name="Action_Resolution" localSheetId="58">#REF!</definedName>
    <definedName name="Action_Resolution" localSheetId="59">#REF!</definedName>
    <definedName name="Action_Resolution">#REF!</definedName>
    <definedName name="Supp_Status" localSheetId="4">#REF!</definedName>
    <definedName name="Supp_Status" localSheetId="5">#REF!</definedName>
    <definedName name="Supp_Status" localSheetId="6">#REF!</definedName>
    <definedName name="Supp_Status" localSheetId="7">#REF!</definedName>
    <definedName name="Supp_Status" localSheetId="8">#REF!</definedName>
    <definedName name="Supp_Status" localSheetId="9">#REF!</definedName>
    <definedName name="Supp_Status" localSheetId="10">#REF!</definedName>
    <definedName name="Supp_Status" localSheetId="11">#REF!</definedName>
    <definedName name="Supp_Status" localSheetId="12">#REF!</definedName>
    <definedName name="Supp_Status" localSheetId="13">#REF!</definedName>
    <definedName name="Supp_Status" localSheetId="14">#REF!</definedName>
    <definedName name="Supp_Status" localSheetId="15">#REF!</definedName>
    <definedName name="Supp_Status" localSheetId="16">#REF!</definedName>
    <definedName name="Supp_Status" localSheetId="17">#REF!</definedName>
    <definedName name="Supp_Status" localSheetId="18">#REF!</definedName>
    <definedName name="Supp_Status" localSheetId="19">#REF!</definedName>
    <definedName name="Supp_Status" localSheetId="20">#REF!</definedName>
    <definedName name="Supp_Status" localSheetId="21">#REF!</definedName>
    <definedName name="Supp_Status" localSheetId="22">#REF!</definedName>
    <definedName name="Supp_Status" localSheetId="23">#REF!</definedName>
    <definedName name="Supp_Status" localSheetId="24">#REF!</definedName>
    <definedName name="Supp_Status" localSheetId="25">#REF!</definedName>
    <definedName name="Supp_Status" localSheetId="26">#REF!</definedName>
    <definedName name="Supp_Status" localSheetId="27">#REF!</definedName>
    <definedName name="Supp_Status" localSheetId="28">#REF!</definedName>
    <definedName name="Supp_Status" localSheetId="29">#REF!</definedName>
    <definedName name="Supp_Status" localSheetId="30">#REF!</definedName>
    <definedName name="Supp_Status" localSheetId="31">#REF!</definedName>
    <definedName name="Supp_Status" localSheetId="32">#REF!</definedName>
    <definedName name="Supp_Status" localSheetId="34">#REF!</definedName>
    <definedName name="Supp_Status" localSheetId="33">#REF!</definedName>
    <definedName name="Supp_Status" localSheetId="35">#REF!</definedName>
    <definedName name="Supp_Status" localSheetId="36">#REF!</definedName>
    <definedName name="Supp_Status" localSheetId="37">#REF!</definedName>
    <definedName name="Supp_Status" localSheetId="38">#REF!</definedName>
    <definedName name="Supp_Status" localSheetId="39">#REF!</definedName>
    <definedName name="Supp_Status" localSheetId="40">#REF!</definedName>
    <definedName name="Supp_Status" localSheetId="41">#REF!</definedName>
    <definedName name="Supp_Status" localSheetId="42">#REF!</definedName>
    <definedName name="Supp_Status" localSheetId="43">#REF!</definedName>
    <definedName name="Supp_Status" localSheetId="44">#REF!</definedName>
    <definedName name="Supp_Status" localSheetId="45">#REF!</definedName>
    <definedName name="Supp_Status" localSheetId="46">#REF!</definedName>
    <definedName name="Supp_Status" localSheetId="47">#REF!</definedName>
    <definedName name="Supp_Status" localSheetId="48">#REF!</definedName>
    <definedName name="Supp_Status" localSheetId="49">#REF!</definedName>
    <definedName name="Supp_Status" localSheetId="50">#REF!</definedName>
    <definedName name="Supp_Status" localSheetId="51">#REF!</definedName>
    <definedName name="Supp_Status" localSheetId="52">#REF!</definedName>
    <definedName name="Supp_Status" localSheetId="53">#REF!</definedName>
    <definedName name="Supp_Status" localSheetId="54">#REF!</definedName>
    <definedName name="Supp_Status" localSheetId="55">#REF!</definedName>
    <definedName name="Supp_Status" localSheetId="56">#REF!</definedName>
    <definedName name="Supp_Status" localSheetId="57">#REF!</definedName>
    <definedName name="Supp_Status" localSheetId="58">#REF!</definedName>
    <definedName name="Supp_Status" localSheetId="59">#REF!</definedName>
    <definedName name="Supp_Status">#REF!</definedName>
  </definedNames>
  <calcPr calcId="152511"/>
</workbook>
</file>

<file path=xl/calcChain.xml><?xml version="1.0" encoding="utf-8"?>
<calcChain xmlns="http://schemas.openxmlformats.org/spreadsheetml/2006/main">
  <c r="C16" i="289" l="1"/>
  <c r="C15" i="289"/>
  <c r="C14" i="289"/>
  <c r="C13" i="289"/>
  <c r="C12" i="289"/>
  <c r="C11" i="289"/>
  <c r="C5" i="289"/>
  <c r="B5" i="289"/>
  <c r="C4" i="289"/>
  <c r="B4" i="289"/>
  <c r="C3" i="289"/>
  <c r="B3" i="289"/>
  <c r="C2" i="289"/>
  <c r="B2" i="289"/>
  <c r="C7" i="289" l="1"/>
  <c r="B7" i="289"/>
  <c r="C17" i="289"/>
  <c r="C16" i="287"/>
  <c r="C15" i="287"/>
  <c r="C14" i="287"/>
  <c r="C13" i="287"/>
  <c r="C12" i="287"/>
  <c r="C11" i="287"/>
  <c r="C5" i="287"/>
  <c r="B5" i="287"/>
  <c r="C4" i="287"/>
  <c r="B4" i="287"/>
  <c r="C3" i="287"/>
  <c r="B3" i="287"/>
  <c r="C2" i="287"/>
  <c r="B2" i="287"/>
  <c r="C16" i="286"/>
  <c r="C15" i="286"/>
  <c r="C14" i="286"/>
  <c r="C13" i="286"/>
  <c r="C12" i="286"/>
  <c r="C11" i="286"/>
  <c r="C5" i="286"/>
  <c r="B5" i="286"/>
  <c r="C4" i="286"/>
  <c r="B4" i="286"/>
  <c r="C3" i="286"/>
  <c r="B3" i="286"/>
  <c r="C2" i="286"/>
  <c r="B2" i="286"/>
  <c r="B10" i="289" l="1"/>
  <c r="B7" i="287"/>
  <c r="C17" i="287"/>
  <c r="C7" i="287"/>
  <c r="C7" i="286"/>
  <c r="B7" i="286"/>
  <c r="C17" i="286"/>
  <c r="C16" i="285"/>
  <c r="C15" i="285"/>
  <c r="C14" i="285"/>
  <c r="C13" i="285"/>
  <c r="C12" i="285"/>
  <c r="C11" i="285"/>
  <c r="C5" i="285"/>
  <c r="B5" i="285"/>
  <c r="C4" i="285"/>
  <c r="B4" i="285"/>
  <c r="C3" i="285"/>
  <c r="B3" i="285"/>
  <c r="C2" i="285"/>
  <c r="B2" i="285"/>
  <c r="C16" i="284"/>
  <c r="C15" i="284"/>
  <c r="C14" i="284"/>
  <c r="C13" i="284"/>
  <c r="C12" i="284"/>
  <c r="C11" i="284"/>
  <c r="C5" i="284"/>
  <c r="B5" i="284"/>
  <c r="C4" i="284"/>
  <c r="B4" i="284"/>
  <c r="C3" i="284"/>
  <c r="B3" i="284"/>
  <c r="C2" i="284"/>
  <c r="B2" i="284"/>
  <c r="C16" i="283"/>
  <c r="C15" i="283"/>
  <c r="C14" i="283"/>
  <c r="C13" i="283"/>
  <c r="C12" i="283"/>
  <c r="C11" i="283"/>
  <c r="C5" i="283"/>
  <c r="B5" i="283"/>
  <c r="C4" i="283"/>
  <c r="B4" i="283"/>
  <c r="C3" i="283"/>
  <c r="B3" i="283"/>
  <c r="C2" i="283"/>
  <c r="B2" i="283"/>
  <c r="C16" i="282"/>
  <c r="C15" i="282"/>
  <c r="C14" i="282"/>
  <c r="C13" i="282"/>
  <c r="C12" i="282"/>
  <c r="C11" i="282"/>
  <c r="C5" i="282"/>
  <c r="B5" i="282"/>
  <c r="C4" i="282"/>
  <c r="B4" i="282"/>
  <c r="C3" i="282"/>
  <c r="B3" i="282"/>
  <c r="C2" i="282"/>
  <c r="B2" i="282"/>
  <c r="C16" i="281"/>
  <c r="C15" i="281"/>
  <c r="C14" i="281"/>
  <c r="C13" i="281"/>
  <c r="C12" i="281"/>
  <c r="C11" i="281"/>
  <c r="C5" i="281"/>
  <c r="B5" i="281"/>
  <c r="C4" i="281"/>
  <c r="B4" i="281"/>
  <c r="C3" i="281"/>
  <c r="B3" i="281"/>
  <c r="C2" i="281"/>
  <c r="B2" i="281"/>
  <c r="C16" i="280"/>
  <c r="C15" i="280"/>
  <c r="C14" i="280"/>
  <c r="C13" i="280"/>
  <c r="C12" i="280"/>
  <c r="C11" i="280"/>
  <c r="C5" i="280"/>
  <c r="B5" i="280"/>
  <c r="C4" i="280"/>
  <c r="B4" i="280"/>
  <c r="C3" i="280"/>
  <c r="B3" i="280"/>
  <c r="C2" i="280"/>
  <c r="B2" i="280"/>
  <c r="C16" i="279"/>
  <c r="C15" i="279"/>
  <c r="C14" i="279"/>
  <c r="C13" i="279"/>
  <c r="C12" i="279"/>
  <c r="C11" i="279"/>
  <c r="C5" i="279"/>
  <c r="B5" i="279"/>
  <c r="C4" i="279"/>
  <c r="B4" i="279"/>
  <c r="C3" i="279"/>
  <c r="B3" i="279"/>
  <c r="C2" i="279"/>
  <c r="B2" i="279"/>
  <c r="C16" i="278"/>
  <c r="C15" i="278"/>
  <c r="C14" i="278"/>
  <c r="C13" i="278"/>
  <c r="C12" i="278"/>
  <c r="C11" i="278"/>
  <c r="C5" i="278"/>
  <c r="B5" i="278"/>
  <c r="C4" i="278"/>
  <c r="B4" i="278"/>
  <c r="C3" i="278"/>
  <c r="B3" i="278"/>
  <c r="C2" i="278"/>
  <c r="B2" i="278"/>
  <c r="C16" i="277"/>
  <c r="C15" i="277"/>
  <c r="C14" i="277"/>
  <c r="C13" i="277"/>
  <c r="C12" i="277"/>
  <c r="C11" i="277"/>
  <c r="C5" i="277"/>
  <c r="B5" i="277"/>
  <c r="C4" i="277"/>
  <c r="B4" i="277"/>
  <c r="C3" i="277"/>
  <c r="B3" i="277"/>
  <c r="C2" i="277"/>
  <c r="B2" i="277"/>
  <c r="C16" i="276"/>
  <c r="C15" i="276"/>
  <c r="C14" i="276"/>
  <c r="C13" i="276"/>
  <c r="C12" i="276"/>
  <c r="C11" i="276"/>
  <c r="C5" i="276"/>
  <c r="B5" i="276"/>
  <c r="C4" i="276"/>
  <c r="B4" i="276"/>
  <c r="C3" i="276"/>
  <c r="B3" i="276"/>
  <c r="C2" i="276"/>
  <c r="B2" i="276"/>
  <c r="C16" i="275"/>
  <c r="C15" i="275"/>
  <c r="C14" i="275"/>
  <c r="C13" i="275"/>
  <c r="C12" i="275"/>
  <c r="C11" i="275"/>
  <c r="C5" i="275"/>
  <c r="B5" i="275"/>
  <c r="C4" i="275"/>
  <c r="B4" i="275"/>
  <c r="C3" i="275"/>
  <c r="B3" i="275"/>
  <c r="C2" i="275"/>
  <c r="B2" i="275"/>
  <c r="C16" i="274"/>
  <c r="C15" i="274"/>
  <c r="C14" i="274"/>
  <c r="C13" i="274"/>
  <c r="C12" i="274"/>
  <c r="C11" i="274"/>
  <c r="C5" i="274"/>
  <c r="B5" i="274"/>
  <c r="C4" i="274"/>
  <c r="B4" i="274"/>
  <c r="C3" i="274"/>
  <c r="B3" i="274"/>
  <c r="C2" i="274"/>
  <c r="B2" i="274"/>
  <c r="C16" i="273"/>
  <c r="C15" i="273"/>
  <c r="C14" i="273"/>
  <c r="C13" i="273"/>
  <c r="C12" i="273"/>
  <c r="C11" i="273"/>
  <c r="C5" i="273"/>
  <c r="B5" i="273"/>
  <c r="C4" i="273"/>
  <c r="B4" i="273"/>
  <c r="C3" i="273"/>
  <c r="B3" i="273"/>
  <c r="C2" i="273"/>
  <c r="B2" i="273"/>
  <c r="C16" i="272"/>
  <c r="C15" i="272"/>
  <c r="C14" i="272"/>
  <c r="C13" i="272"/>
  <c r="C12" i="272"/>
  <c r="C11" i="272"/>
  <c r="C5" i="272"/>
  <c r="B5" i="272"/>
  <c r="C4" i="272"/>
  <c r="B4" i="272"/>
  <c r="C3" i="272"/>
  <c r="B3" i="272"/>
  <c r="C2" i="272"/>
  <c r="B2" i="272"/>
  <c r="C16" i="271"/>
  <c r="C15" i="271"/>
  <c r="C14" i="271"/>
  <c r="C13" i="271"/>
  <c r="C12" i="271"/>
  <c r="C11" i="271"/>
  <c r="C5" i="271"/>
  <c r="B5" i="271"/>
  <c r="C4" i="271"/>
  <c r="B4" i="271"/>
  <c r="C3" i="271"/>
  <c r="B3" i="271"/>
  <c r="C2" i="271"/>
  <c r="B2" i="271"/>
  <c r="C16" i="270"/>
  <c r="C15" i="270"/>
  <c r="C14" i="270"/>
  <c r="C13" i="270"/>
  <c r="C12" i="270"/>
  <c r="C11" i="270"/>
  <c r="C5" i="270"/>
  <c r="B5" i="270"/>
  <c r="C4" i="270"/>
  <c r="B4" i="270"/>
  <c r="C3" i="270"/>
  <c r="B3" i="270"/>
  <c r="C2" i="270"/>
  <c r="B2" i="270"/>
  <c r="C16" i="269"/>
  <c r="C15" i="269"/>
  <c r="C14" i="269"/>
  <c r="C13" i="269"/>
  <c r="C12" i="269"/>
  <c r="C11" i="269"/>
  <c r="C5" i="269"/>
  <c r="B5" i="269"/>
  <c r="C4" i="269"/>
  <c r="B4" i="269"/>
  <c r="C3" i="269"/>
  <c r="B3" i="269"/>
  <c r="C2" i="269"/>
  <c r="B2" i="269"/>
  <c r="C16" i="268"/>
  <c r="C15" i="268"/>
  <c r="C14" i="268"/>
  <c r="C13" i="268"/>
  <c r="C12" i="268"/>
  <c r="C11" i="268"/>
  <c r="C5" i="268"/>
  <c r="B5" i="268"/>
  <c r="C4" i="268"/>
  <c r="B4" i="268"/>
  <c r="C3" i="268"/>
  <c r="B3" i="268"/>
  <c r="C2" i="268"/>
  <c r="B2" i="268"/>
  <c r="C16" i="267"/>
  <c r="C15" i="267"/>
  <c r="C14" i="267"/>
  <c r="C13" i="267"/>
  <c r="C12" i="267"/>
  <c r="C11" i="267"/>
  <c r="C5" i="267"/>
  <c r="B5" i="267"/>
  <c r="C4" i="267"/>
  <c r="B4" i="267"/>
  <c r="C3" i="267"/>
  <c r="B3" i="267"/>
  <c r="C2" i="267"/>
  <c r="B2" i="267"/>
  <c r="C16" i="266"/>
  <c r="C15" i="266"/>
  <c r="C14" i="266"/>
  <c r="C13" i="266"/>
  <c r="C12" i="266"/>
  <c r="C11" i="266"/>
  <c r="C5" i="266"/>
  <c r="B5" i="266"/>
  <c r="C4" i="266"/>
  <c r="B4" i="266"/>
  <c r="C3" i="266"/>
  <c r="B3" i="266"/>
  <c r="C2" i="266"/>
  <c r="B2" i="266"/>
  <c r="C16" i="265"/>
  <c r="C15" i="265"/>
  <c r="C14" i="265"/>
  <c r="C13" i="265"/>
  <c r="C12" i="265"/>
  <c r="C11" i="265"/>
  <c r="C5" i="265"/>
  <c r="B5" i="265"/>
  <c r="C4" i="265"/>
  <c r="B4" i="265"/>
  <c r="C3" i="265"/>
  <c r="B3" i="265"/>
  <c r="C2" i="265"/>
  <c r="B2" i="265"/>
  <c r="C16" i="264"/>
  <c r="C15" i="264"/>
  <c r="C14" i="264"/>
  <c r="C13" i="264"/>
  <c r="C12" i="264"/>
  <c r="C11" i="264"/>
  <c r="C5" i="264"/>
  <c r="B5" i="264"/>
  <c r="C4" i="264"/>
  <c r="B4" i="264"/>
  <c r="C3" i="264"/>
  <c r="B3" i="264"/>
  <c r="C2" i="264"/>
  <c r="B2" i="264"/>
  <c r="C16" i="263"/>
  <c r="C15" i="263"/>
  <c r="C14" i="263"/>
  <c r="C13" i="263"/>
  <c r="C12" i="263"/>
  <c r="C11" i="263"/>
  <c r="C5" i="263"/>
  <c r="B5" i="263"/>
  <c r="C4" i="263"/>
  <c r="B4" i="263"/>
  <c r="C3" i="263"/>
  <c r="B3" i="263"/>
  <c r="C2" i="263"/>
  <c r="B2" i="263"/>
  <c r="C16" i="262"/>
  <c r="C15" i="262"/>
  <c r="C14" i="262"/>
  <c r="C13" i="262"/>
  <c r="C12" i="262"/>
  <c r="C11" i="262"/>
  <c r="C5" i="262"/>
  <c r="B5" i="262"/>
  <c r="C4" i="262"/>
  <c r="B4" i="262"/>
  <c r="C3" i="262"/>
  <c r="B3" i="262"/>
  <c r="C2" i="262"/>
  <c r="B2" i="262"/>
  <c r="C16" i="261"/>
  <c r="C15" i="261"/>
  <c r="C14" i="261"/>
  <c r="C13" i="261"/>
  <c r="C12" i="261"/>
  <c r="C11" i="261"/>
  <c r="C5" i="261"/>
  <c r="B5" i="261"/>
  <c r="C4" i="261"/>
  <c r="B4" i="261"/>
  <c r="C3" i="261"/>
  <c r="B3" i="261"/>
  <c r="C2" i="261"/>
  <c r="B2" i="261"/>
  <c r="C16" i="260"/>
  <c r="C15" i="260"/>
  <c r="C14" i="260"/>
  <c r="C13" i="260"/>
  <c r="C12" i="260"/>
  <c r="C11" i="260"/>
  <c r="C5" i="260"/>
  <c r="B5" i="260"/>
  <c r="C4" i="260"/>
  <c r="B4" i="260"/>
  <c r="C3" i="260"/>
  <c r="B3" i="260"/>
  <c r="C2" i="260"/>
  <c r="B2" i="260"/>
  <c r="C16" i="259"/>
  <c r="C15" i="259"/>
  <c r="C14" i="259"/>
  <c r="C13" i="259"/>
  <c r="C12" i="259"/>
  <c r="C11" i="259"/>
  <c r="C5" i="259"/>
  <c r="B5" i="259"/>
  <c r="C4" i="259"/>
  <c r="B4" i="259"/>
  <c r="C3" i="259"/>
  <c r="B3" i="259"/>
  <c r="C2" i="259"/>
  <c r="B2" i="259"/>
  <c r="C16" i="258"/>
  <c r="C15" i="258"/>
  <c r="C14" i="258"/>
  <c r="C13" i="258"/>
  <c r="C12" i="258"/>
  <c r="C11" i="258"/>
  <c r="C5" i="258"/>
  <c r="B5" i="258"/>
  <c r="C4" i="258"/>
  <c r="B4" i="258"/>
  <c r="C3" i="258"/>
  <c r="B3" i="258"/>
  <c r="C2" i="258"/>
  <c r="B2" i="258"/>
  <c r="C16" i="257"/>
  <c r="C15" i="257"/>
  <c r="C14" i="257"/>
  <c r="C13" i="257"/>
  <c r="C12" i="257"/>
  <c r="C11" i="257"/>
  <c r="C5" i="257"/>
  <c r="B5" i="257"/>
  <c r="C4" i="257"/>
  <c r="B4" i="257"/>
  <c r="C3" i="257"/>
  <c r="B3" i="257"/>
  <c r="C2" i="257"/>
  <c r="B2" i="257"/>
  <c r="C16" i="256"/>
  <c r="C15" i="256"/>
  <c r="C14" i="256"/>
  <c r="C13" i="256"/>
  <c r="C12" i="256"/>
  <c r="C11" i="256"/>
  <c r="C5" i="256"/>
  <c r="B5" i="256"/>
  <c r="C4" i="256"/>
  <c r="B4" i="256"/>
  <c r="C3" i="256"/>
  <c r="B3" i="256"/>
  <c r="C2" i="256"/>
  <c r="B2" i="256"/>
  <c r="C16" i="255"/>
  <c r="C15" i="255"/>
  <c r="C14" i="255"/>
  <c r="C13" i="255"/>
  <c r="C12" i="255"/>
  <c r="C11" i="255"/>
  <c r="C5" i="255"/>
  <c r="B5" i="255"/>
  <c r="C4" i="255"/>
  <c r="B4" i="255"/>
  <c r="C3" i="255"/>
  <c r="B3" i="255"/>
  <c r="C2" i="255"/>
  <c r="B2" i="255"/>
  <c r="C16" i="254"/>
  <c r="C15" i="254"/>
  <c r="C14" i="254"/>
  <c r="C13" i="254"/>
  <c r="C12" i="254"/>
  <c r="C11" i="254"/>
  <c r="C5" i="254"/>
  <c r="B5" i="254"/>
  <c r="C4" i="254"/>
  <c r="B4" i="254"/>
  <c r="C3" i="254"/>
  <c r="B3" i="254"/>
  <c r="C2" i="254"/>
  <c r="B2" i="254"/>
  <c r="C16" i="253"/>
  <c r="C15" i="253"/>
  <c r="C14" i="253"/>
  <c r="C13" i="253"/>
  <c r="C12" i="253"/>
  <c r="C11" i="253"/>
  <c r="C5" i="253"/>
  <c r="B5" i="253"/>
  <c r="C4" i="253"/>
  <c r="B4" i="253"/>
  <c r="C3" i="253"/>
  <c r="B3" i="253"/>
  <c r="C2" i="253"/>
  <c r="B2" i="253"/>
  <c r="C16" i="252"/>
  <c r="C15" i="252"/>
  <c r="C14" i="252"/>
  <c r="C13" i="252"/>
  <c r="C12" i="252"/>
  <c r="C11" i="252"/>
  <c r="C5" i="252"/>
  <c r="B5" i="252"/>
  <c r="C4" i="252"/>
  <c r="B4" i="252"/>
  <c r="C3" i="252"/>
  <c r="B3" i="252"/>
  <c r="C2" i="252"/>
  <c r="B2" i="252"/>
  <c r="C16" i="249"/>
  <c r="C15" i="249"/>
  <c r="C14" i="249"/>
  <c r="C13" i="249"/>
  <c r="C12" i="249"/>
  <c r="C11" i="249"/>
  <c r="C5" i="249"/>
  <c r="B5" i="249"/>
  <c r="C4" i="249"/>
  <c r="B4" i="249"/>
  <c r="C3" i="249"/>
  <c r="B3" i="249"/>
  <c r="C2" i="249"/>
  <c r="B2" i="249"/>
  <c r="C16" i="248"/>
  <c r="C15" i="248"/>
  <c r="C14" i="248"/>
  <c r="C13" i="248"/>
  <c r="C12" i="248"/>
  <c r="C11" i="248"/>
  <c r="C5" i="248"/>
  <c r="B5" i="248"/>
  <c r="C4" i="248"/>
  <c r="B4" i="248"/>
  <c r="C3" i="248"/>
  <c r="B3" i="248"/>
  <c r="C2" i="248"/>
  <c r="B2" i="248"/>
  <c r="C16" i="247"/>
  <c r="C15" i="247"/>
  <c r="C14" i="247"/>
  <c r="C13" i="247"/>
  <c r="C12" i="247"/>
  <c r="C11" i="247"/>
  <c r="C5" i="247"/>
  <c r="B5" i="247"/>
  <c r="C4" i="247"/>
  <c r="B4" i="247"/>
  <c r="C3" i="247"/>
  <c r="B3" i="247"/>
  <c r="C2" i="247"/>
  <c r="B2" i="247"/>
  <c r="C16" i="246"/>
  <c r="C15" i="246"/>
  <c r="C14" i="246"/>
  <c r="C13" i="246"/>
  <c r="C12" i="246"/>
  <c r="C11" i="246"/>
  <c r="C5" i="246"/>
  <c r="B5" i="246"/>
  <c r="C4" i="246"/>
  <c r="B4" i="246"/>
  <c r="C3" i="246"/>
  <c r="B3" i="246"/>
  <c r="C2" i="246"/>
  <c r="B2" i="246"/>
  <c r="C16" i="245"/>
  <c r="C15" i="245"/>
  <c r="C14" i="245"/>
  <c r="C13" i="245"/>
  <c r="C12" i="245"/>
  <c r="C11" i="245"/>
  <c r="C5" i="245"/>
  <c r="B5" i="245"/>
  <c r="C4" i="245"/>
  <c r="B4" i="245"/>
  <c r="C3" i="245"/>
  <c r="B3" i="245"/>
  <c r="C2" i="245"/>
  <c r="B2" i="245"/>
  <c r="C16" i="244"/>
  <c r="C15" i="244"/>
  <c r="C14" i="244"/>
  <c r="C13" i="244"/>
  <c r="C12" i="244"/>
  <c r="C11" i="244"/>
  <c r="C5" i="244"/>
  <c r="B5" i="244"/>
  <c r="C4" i="244"/>
  <c r="B4" i="244"/>
  <c r="C3" i="244"/>
  <c r="B3" i="244"/>
  <c r="C2" i="244"/>
  <c r="B2" i="244"/>
  <c r="C16" i="243"/>
  <c r="C15" i="243"/>
  <c r="C14" i="243"/>
  <c r="C13" i="243"/>
  <c r="C12" i="243"/>
  <c r="C11" i="243"/>
  <c r="C5" i="243"/>
  <c r="B5" i="243"/>
  <c r="C4" i="243"/>
  <c r="B4" i="243"/>
  <c r="C3" i="243"/>
  <c r="B3" i="243"/>
  <c r="C2" i="243"/>
  <c r="B2" i="243"/>
  <c r="C16" i="242"/>
  <c r="C15" i="242"/>
  <c r="C14" i="242"/>
  <c r="C13" i="242"/>
  <c r="C12" i="242"/>
  <c r="C11" i="242"/>
  <c r="C5" i="242"/>
  <c r="B5" i="242"/>
  <c r="C4" i="242"/>
  <c r="B4" i="242"/>
  <c r="C3" i="242"/>
  <c r="B3" i="242"/>
  <c r="C2" i="242"/>
  <c r="B2" i="242"/>
  <c r="C16" i="241"/>
  <c r="C15" i="241"/>
  <c r="C14" i="241"/>
  <c r="C13" i="241"/>
  <c r="C12" i="241"/>
  <c r="C11" i="241"/>
  <c r="C5" i="241"/>
  <c r="B5" i="241"/>
  <c r="C4" i="241"/>
  <c r="B4" i="241"/>
  <c r="C3" i="241"/>
  <c r="B3" i="241"/>
  <c r="C2" i="241"/>
  <c r="B2" i="241"/>
  <c r="C16" i="240"/>
  <c r="C15" i="240"/>
  <c r="C14" i="240"/>
  <c r="C13" i="240"/>
  <c r="C12" i="240"/>
  <c r="C11" i="240"/>
  <c r="C5" i="240"/>
  <c r="B5" i="240"/>
  <c r="C4" i="240"/>
  <c r="B4" i="240"/>
  <c r="C3" i="240"/>
  <c r="B3" i="240"/>
  <c r="C2" i="240"/>
  <c r="B2" i="240"/>
  <c r="C16" i="239"/>
  <c r="C15" i="239"/>
  <c r="C14" i="239"/>
  <c r="C13" i="239"/>
  <c r="C12" i="239"/>
  <c r="C11" i="239"/>
  <c r="C5" i="239"/>
  <c r="B5" i="239"/>
  <c r="C4" i="239"/>
  <c r="B4" i="239"/>
  <c r="C3" i="239"/>
  <c r="B3" i="239"/>
  <c r="C2" i="239"/>
  <c r="B2" i="239"/>
  <c r="C16" i="238"/>
  <c r="C15" i="238"/>
  <c r="C14" i="238"/>
  <c r="C13" i="238"/>
  <c r="C12" i="238"/>
  <c r="C11" i="238"/>
  <c r="C5" i="238"/>
  <c r="B5" i="238"/>
  <c r="C4" i="238"/>
  <c r="B4" i="238"/>
  <c r="C3" i="238"/>
  <c r="B3" i="238"/>
  <c r="C2" i="238"/>
  <c r="B2" i="238"/>
  <c r="C16" i="237"/>
  <c r="C15" i="237"/>
  <c r="C14" i="237"/>
  <c r="C13" i="237"/>
  <c r="C12" i="237"/>
  <c r="C11" i="237"/>
  <c r="C5" i="237"/>
  <c r="B5" i="237"/>
  <c r="C4" i="237"/>
  <c r="B4" i="237"/>
  <c r="C3" i="237"/>
  <c r="B3" i="237"/>
  <c r="C2" i="237"/>
  <c r="B2" i="237"/>
  <c r="C16" i="236"/>
  <c r="C15" i="236"/>
  <c r="C14" i="236"/>
  <c r="C13" i="236"/>
  <c r="C12" i="236"/>
  <c r="C11" i="236"/>
  <c r="C5" i="236"/>
  <c r="B5" i="236"/>
  <c r="C4" i="236"/>
  <c r="B4" i="236"/>
  <c r="C3" i="236"/>
  <c r="B3" i="236"/>
  <c r="C2" i="236"/>
  <c r="B2" i="236"/>
  <c r="C16" i="235"/>
  <c r="C15" i="235"/>
  <c r="C14" i="235"/>
  <c r="C13" i="235"/>
  <c r="C12" i="235"/>
  <c r="C11" i="235"/>
  <c r="C5" i="235"/>
  <c r="B5" i="235"/>
  <c r="C4" i="235"/>
  <c r="B4" i="235"/>
  <c r="C3" i="235"/>
  <c r="B3" i="235"/>
  <c r="C2" i="235"/>
  <c r="B2" i="235"/>
  <c r="C16" i="234"/>
  <c r="C15" i="234"/>
  <c r="C14" i="234"/>
  <c r="C13" i="234"/>
  <c r="C12" i="234"/>
  <c r="C11" i="234"/>
  <c r="C5" i="234"/>
  <c r="B5" i="234"/>
  <c r="C4" i="234"/>
  <c r="B4" i="234"/>
  <c r="C3" i="234"/>
  <c r="B3" i="234"/>
  <c r="C2" i="234"/>
  <c r="B2" i="234"/>
  <c r="C16" i="233"/>
  <c r="C15" i="233"/>
  <c r="C14" i="233"/>
  <c r="C13" i="233"/>
  <c r="C12" i="233"/>
  <c r="C11" i="233"/>
  <c r="C5" i="233"/>
  <c r="B5" i="233"/>
  <c r="C4" i="233"/>
  <c r="B4" i="233"/>
  <c r="C3" i="233"/>
  <c r="B3" i="233"/>
  <c r="C2" i="233"/>
  <c r="B2" i="233"/>
  <c r="C16" i="231"/>
  <c r="C15" i="231"/>
  <c r="C14" i="231"/>
  <c r="C13" i="231"/>
  <c r="C12" i="231"/>
  <c r="C11" i="231"/>
  <c r="C5" i="231"/>
  <c r="B5" i="231"/>
  <c r="C4" i="231"/>
  <c r="B4" i="231"/>
  <c r="C3" i="231"/>
  <c r="B3" i="231"/>
  <c r="C2" i="231"/>
  <c r="B2" i="231"/>
  <c r="C16" i="230"/>
  <c r="C15" i="230"/>
  <c r="C14" i="230"/>
  <c r="C13" i="230"/>
  <c r="C12" i="230"/>
  <c r="C11" i="230"/>
  <c r="C5" i="230"/>
  <c r="B5" i="230"/>
  <c r="C4" i="230"/>
  <c r="B4" i="230"/>
  <c r="C3" i="230"/>
  <c r="B3" i="230"/>
  <c r="C2" i="230"/>
  <c r="B2" i="230"/>
  <c r="B10" i="287" l="1"/>
  <c r="B7" i="231"/>
  <c r="C7" i="233"/>
  <c r="C7" i="241"/>
  <c r="C7" i="243"/>
  <c r="C7" i="247"/>
  <c r="C7" i="249"/>
  <c r="C7" i="253"/>
  <c r="C7" i="259"/>
  <c r="C7" i="261"/>
  <c r="C7" i="263"/>
  <c r="C7" i="265"/>
  <c r="C7" i="269"/>
  <c r="C7" i="275"/>
  <c r="C7" i="277"/>
  <c r="C7" i="279"/>
  <c r="B10" i="286"/>
  <c r="C7" i="231"/>
  <c r="B7" i="233"/>
  <c r="B7" i="235"/>
  <c r="C17" i="235"/>
  <c r="B7" i="237"/>
  <c r="C17" i="237"/>
  <c r="B7" i="239"/>
  <c r="C17" i="239"/>
  <c r="B7" i="241"/>
  <c r="C17" i="241"/>
  <c r="B7" i="243"/>
  <c r="C17" i="243"/>
  <c r="C17" i="245"/>
  <c r="B7" i="247"/>
  <c r="C17" i="247"/>
  <c r="C17" i="249"/>
  <c r="B7" i="253"/>
  <c r="B7" i="257"/>
  <c r="C17" i="257"/>
  <c r="C17" i="259"/>
  <c r="B7" i="261"/>
  <c r="B10" i="261" s="1"/>
  <c r="C17" i="261"/>
  <c r="C17" i="263"/>
  <c r="B7" i="265"/>
  <c r="C17" i="265"/>
  <c r="B7" i="267"/>
  <c r="C17" i="267"/>
  <c r="B7" i="269"/>
  <c r="B10" i="269" s="1"/>
  <c r="C17" i="269"/>
  <c r="C17" i="271"/>
  <c r="C17" i="273"/>
  <c r="C17" i="275"/>
  <c r="B7" i="277"/>
  <c r="C17" i="277"/>
  <c r="B7" i="279"/>
  <c r="C17" i="279"/>
  <c r="B7" i="281"/>
  <c r="C17" i="281"/>
  <c r="B7" i="285"/>
  <c r="C17" i="283"/>
  <c r="C17" i="255"/>
  <c r="C17" i="231"/>
  <c r="C17" i="253"/>
  <c r="C7" i="255"/>
  <c r="B7" i="230"/>
  <c r="C17" i="230"/>
  <c r="B7" i="234"/>
  <c r="C17" i="234"/>
  <c r="C17" i="236"/>
  <c r="B7" i="238"/>
  <c r="B7" i="240"/>
  <c r="C17" i="240"/>
  <c r="B7" i="242"/>
  <c r="C17" i="242"/>
  <c r="B7" i="244"/>
  <c r="C17" i="244"/>
  <c r="B7" i="246"/>
  <c r="C17" i="246"/>
  <c r="B7" i="248"/>
  <c r="B7" i="252"/>
  <c r="C17" i="252"/>
  <c r="B7" i="254"/>
  <c r="C17" i="254"/>
  <c r="B7" i="256"/>
  <c r="B7" i="258"/>
  <c r="C17" i="258"/>
  <c r="C17" i="260"/>
  <c r="B7" i="262"/>
  <c r="C17" i="262"/>
  <c r="B7" i="264"/>
  <c r="C17" i="264"/>
  <c r="B7" i="266"/>
  <c r="C17" i="266"/>
  <c r="B7" i="268"/>
  <c r="C17" i="268"/>
  <c r="C17" i="270"/>
  <c r="B7" i="272"/>
  <c r="C17" i="272"/>
  <c r="B7" i="274"/>
  <c r="C17" i="274"/>
  <c r="B7" i="276"/>
  <c r="C17" i="276"/>
  <c r="B7" i="278"/>
  <c r="C17" i="278"/>
  <c r="C17" i="280"/>
  <c r="C17" i="282"/>
  <c r="B7" i="284"/>
  <c r="C17" i="284"/>
  <c r="C17" i="233"/>
  <c r="C7" i="230"/>
  <c r="C7" i="236"/>
  <c r="C17" i="238"/>
  <c r="C7" i="240"/>
  <c r="C7" i="246"/>
  <c r="C17" i="248"/>
  <c r="C7" i="252"/>
  <c r="C17" i="256"/>
  <c r="C7" i="258"/>
  <c r="C7" i="260"/>
  <c r="C7" i="262"/>
  <c r="C7" i="266"/>
  <c r="C7" i="268"/>
  <c r="C7" i="270"/>
  <c r="C7" i="276"/>
  <c r="C7" i="280"/>
  <c r="C7" i="282"/>
  <c r="C7" i="284"/>
  <c r="C17" i="285"/>
  <c r="B7" i="255"/>
  <c r="B7" i="275"/>
  <c r="B7" i="283"/>
  <c r="C7" i="285"/>
  <c r="C7" i="283"/>
  <c r="B7" i="282"/>
  <c r="B10" i="282" s="1"/>
  <c r="C7" i="281"/>
  <c r="B7" i="280"/>
  <c r="C7" i="278"/>
  <c r="C7" i="274"/>
  <c r="B7" i="273"/>
  <c r="C7" i="273"/>
  <c r="C7" i="272"/>
  <c r="B7" i="271"/>
  <c r="C7" i="271"/>
  <c r="B7" i="270"/>
  <c r="C7" i="267"/>
  <c r="C7" i="264"/>
  <c r="B7" i="263"/>
  <c r="B7" i="260"/>
  <c r="B7" i="259"/>
  <c r="C7" i="257"/>
  <c r="C7" i="256"/>
  <c r="C7" i="254"/>
  <c r="B7" i="249"/>
  <c r="C7" i="248"/>
  <c r="B7" i="245"/>
  <c r="C7" i="245"/>
  <c r="C7" i="244"/>
  <c r="C7" i="242"/>
  <c r="C7" i="239"/>
  <c r="C7" i="238"/>
  <c r="C7" i="237"/>
  <c r="B7" i="236"/>
  <c r="C7" i="235"/>
  <c r="C7" i="234"/>
  <c r="B7" i="228"/>
  <c r="C7" i="228"/>
  <c r="C17" i="228"/>
  <c r="C5" i="37"/>
  <c r="B5" i="37"/>
  <c r="C4" i="37"/>
  <c r="B4" i="37"/>
  <c r="C3" i="37"/>
  <c r="B3" i="37"/>
  <c r="C2" i="37"/>
  <c r="B2" i="37"/>
  <c r="C11" i="37"/>
  <c r="C12" i="37"/>
  <c r="C13" i="37"/>
  <c r="C14" i="37"/>
  <c r="C15" i="37"/>
  <c r="C16" i="37"/>
  <c r="B10" i="274" l="1"/>
  <c r="B10" i="249"/>
  <c r="B10" i="267"/>
  <c r="B10" i="277"/>
  <c r="B10" i="231"/>
  <c r="B10" i="237"/>
  <c r="B10" i="272"/>
  <c r="B10" i="275"/>
  <c r="B10" i="230"/>
  <c r="B10" i="247"/>
  <c r="B10" i="238"/>
  <c r="B10" i="257"/>
  <c r="B10" i="281"/>
  <c r="B10" i="233"/>
  <c r="B10" i="242"/>
  <c r="B10" i="263"/>
  <c r="B10" i="279"/>
  <c r="B10" i="236"/>
  <c r="B10" i="265"/>
  <c r="B10" i="234"/>
  <c r="B10" i="239"/>
  <c r="B10" i="253"/>
  <c r="B10" i="241"/>
  <c r="B10" i="285"/>
  <c r="B10" i="243"/>
  <c r="B10" i="259"/>
  <c r="B10" i="245"/>
  <c r="B10" i="256"/>
  <c r="B10" i="260"/>
  <c r="B10" i="270"/>
  <c r="B10" i="278"/>
  <c r="B10" i="283"/>
  <c r="B10" i="268"/>
  <c r="B10" i="235"/>
  <c r="B10" i="244"/>
  <c r="B10" i="248"/>
  <c r="B10" i="255"/>
  <c r="B10" i="266"/>
  <c r="B10" i="258"/>
  <c r="B10" i="254"/>
  <c r="B10" i="276"/>
  <c r="B10" i="240"/>
  <c r="B10" i="264"/>
  <c r="B10" i="273"/>
  <c r="B10" i="262"/>
  <c r="B10" i="252"/>
  <c r="B10" i="280"/>
  <c r="B10" i="284"/>
  <c r="B10" i="246"/>
  <c r="B10" i="271"/>
  <c r="C7" i="37"/>
  <c r="C17" i="37"/>
  <c r="B7" i="37"/>
  <c r="B10" i="228"/>
  <c r="C18" i="228" s="1"/>
  <c r="B10" i="37" l="1"/>
</calcChain>
</file>

<file path=xl/sharedStrings.xml><?xml version="1.0" encoding="utf-8"?>
<sst xmlns="http://schemas.openxmlformats.org/spreadsheetml/2006/main" count="3760" uniqueCount="1258">
  <si>
    <t/>
  </si>
  <si>
    <t>Menu</t>
  </si>
  <si>
    <t>Summary</t>
  </si>
  <si>
    <t>File</t>
  </si>
  <si>
    <t>Function</t>
  </si>
  <si>
    <t>Missing Coverage</t>
  </si>
  <si>
    <t>File Coverage</t>
  </si>
  <si>
    <t>Function Coverage</t>
  </si>
  <si>
    <t>Analysis</t>
  </si>
  <si>
    <t>Category</t>
  </si>
  <si>
    <t>Line</t>
  </si>
  <si>
    <t>Total Nodes</t>
  </si>
  <si>
    <t>Hit</t>
  </si>
  <si>
    <t>Total:</t>
  </si>
  <si>
    <t>Statement Blocks</t>
  </si>
  <si>
    <t>Implicit Blocks</t>
  </si>
  <si>
    <t>Basic Conditions</t>
  </si>
  <si>
    <t>Modified Conditions</t>
  </si>
  <si>
    <t>Initially Missed</t>
  </si>
  <si>
    <t>CR - Code</t>
  </si>
  <si>
    <t>CR - Requirement</t>
  </si>
  <si>
    <t>Test Issue</t>
  </si>
  <si>
    <t>Suppl. Testing</t>
  </si>
  <si>
    <t>Analysis - Defensive</t>
  </si>
  <si>
    <t>Analysis - Deactivated</t>
  </si>
  <si>
    <t>Remaining</t>
  </si>
  <si>
    <t>Total</t>
  </si>
  <si>
    <t>bpcu\ABORTAIR2GNDOPTST.csv</t>
  </si>
  <si>
    <t>bpcu\ABORTEPOPTST.csv</t>
  </si>
  <si>
    <t>bpcu\ABORTPWRUPOPTST.csv</t>
  </si>
  <si>
    <t>bpcu\ACBE_GENTESTLOAD.csv</t>
  </si>
  <si>
    <t>bpcu\ACBE_LOGIC.csv</t>
  </si>
  <si>
    <t>bpcu\ACINTERLOCK.csv</t>
  </si>
  <si>
    <t>bpcu\ACPWRDOWN.csv</t>
  </si>
  <si>
    <t>bpcu\ADJATUBUSSRCVALID.csv</t>
  </si>
  <si>
    <t>bpcu\ADJBSB.csv</t>
  </si>
  <si>
    <t>bpcu\ADJBSB_CONTROL.csv</t>
  </si>
  <si>
    <t>bpcu\ADJBSBFTCPROTECTION.csv</t>
  </si>
  <si>
    <t>bpcu\ADJIT.csv</t>
  </si>
  <si>
    <t>bpcu\ADJTRURLY.csv</t>
  </si>
  <si>
    <t>bpcu\ADJTRURLYFTCPROTECTION.csv</t>
  </si>
  <si>
    <t>bpcu\AFSR_CALLBACK.csv</t>
  </si>
  <si>
    <t>bpcu\AIR2GNDOPTST.csv</t>
  </si>
  <si>
    <t>bpcu\AIR2GNDOPTSTMODE1.csv</t>
  </si>
  <si>
    <t>bpcu\AIR2GNDOPTSTMODE1_ADJIT.csv</t>
  </si>
  <si>
    <t>bpcu\AIR2GNDOPTSTMODE1_BTB.csv</t>
  </si>
  <si>
    <t>bpcu\AIR2GNDOPTSTMODE1_DCT.csv</t>
  </si>
  <si>
    <t>bpcu\AIR2GNDOPTSTMODE1_HOTBATTERYFEEDFET.csv</t>
  </si>
  <si>
    <t>bpcu\AIR2GNDOPTSTMODE2.csv</t>
  </si>
  <si>
    <t>bpcu\AIR2GNDOPTSTMODE2_FAN1.csv</t>
  </si>
  <si>
    <t>bpcu\AIR2GNDOPTSTMODE2_FAN2.csv</t>
  </si>
  <si>
    <t>bpcu\AIR2GNDOPTSTTOPLEVEL.csv</t>
  </si>
  <si>
    <t>bpcu\ANY_LRUFAILED.csv</t>
  </si>
  <si>
    <t>bpcu\ATUBUS_PATH.csv</t>
  </si>
  <si>
    <t>bpcu\ATUBUS_XFERMODES.csv</t>
  </si>
  <si>
    <t>bpcu\ATUBUS_XFERSTATE.csv</t>
  </si>
  <si>
    <t>bpcu\ATUBUS_XFERSTATUS.csv</t>
  </si>
  <si>
    <t>bpcu\ATUBUSXFER_ENGINE.csv</t>
  </si>
  <si>
    <t>bpcu\ATUDPPROTECTION.csv</t>
  </si>
  <si>
    <t>bpcu\BACKUPBUS.csv</t>
  </si>
  <si>
    <t>bpcu\BACKUPBUS_PATH.csv</t>
  </si>
  <si>
    <t>bpcu\BACKUPBUS_XFERFAILED.csv</t>
  </si>
  <si>
    <t>bpcu\BACKUPBUS_XFERMODES.csv</t>
  </si>
  <si>
    <t>bpcu\BACKUPBUS_XFERSTATE.csv</t>
  </si>
  <si>
    <t>bpcu\BACKUPBUS_XFERSTATUS.csv</t>
  </si>
  <si>
    <t>bpcu\BACKUPBUSCURRSRCPATH.csv</t>
  </si>
  <si>
    <t>bpcu\BACKUPBUSRAWTARSRCPATH.csv</t>
  </si>
  <si>
    <t>bpcu\BACKUPBUSSTATE.csv</t>
  </si>
  <si>
    <t>bpcu\BACKUPBUSTARSRCPATH.csv</t>
  </si>
  <si>
    <t>bpcu\BACKUPBUSXFER.csv</t>
  </si>
  <si>
    <t>bpcu\BACKUPBUSXFER_ENGINE.csv</t>
  </si>
  <si>
    <t>bpcu\BACKUPBUSXFER_MANAGER.csv</t>
  </si>
  <si>
    <t>bpcu\BATTERYMONITOR.csv</t>
  </si>
  <si>
    <t>bpcu\BBISOFTCPROTECTION.csv</t>
  </si>
  <si>
    <t>bpcu\BBISORLY.csv</t>
  </si>
  <si>
    <t>bpcu\BBRLY.csv</t>
  </si>
  <si>
    <t>bpcu\BITE_BPCU_DATA_REDUCTION.csv</t>
  </si>
  <si>
    <t>bpcu\BITE_EXECUTIVE.csv</t>
  </si>
  <si>
    <t>bpcu\BITE_UPDATE_SOFTWARE_HOOKS.csv</t>
  </si>
  <si>
    <t>bpcu\BITE_VALIDITYCOM.csv</t>
  </si>
  <si>
    <t>bpcu\BPCU_DATA_REDUCTION.csv</t>
  </si>
  <si>
    <t>bpcu\BPCU_EICAS.csv</t>
  </si>
  <si>
    <t>bpcu\BPCU_MAIN.csv</t>
  </si>
  <si>
    <t>bpcu\BPCU_POWER_TRANSFER.csv</t>
  </si>
  <si>
    <t>bpcu\BPCU_PWRUP_OPTSTS.csv</t>
  </si>
  <si>
    <t>bpcu\BPCU_PWRUP_OPTSTS_OUTPUT_DRIVERS.csv</t>
  </si>
  <si>
    <t>bpcu\BPCU_PWRUP_OPTSTS_SOFTCAL_PROCESSING.csv</t>
  </si>
  <si>
    <t>bpcu\BPCU_PWRUP_OPTSTS_TOPLEVEL.csv</t>
  </si>
  <si>
    <t>bpcu\BPCUCONTROL.csv</t>
  </si>
  <si>
    <t>bpcu\BPCUENGINESTART.csv</t>
  </si>
  <si>
    <t>bpcu\BPCUFTOPROTECTIONS.csv</t>
  </si>
  <si>
    <t>bpcu\BPCUINPUTPROCESSING.csv</t>
  </si>
  <si>
    <t>bpcu\BPCULOADMANAGEMENT_APUOL.csv</t>
  </si>
  <si>
    <t>bpcu\BPCULOADMANAGEMENT_APUOL_LMAPUHYDRUNSTOPCONDOLIDATOR.csv</t>
  </si>
  <si>
    <t>bpcu\BPCULOADMANAGEMENT_ASGOL.csv</t>
  </si>
  <si>
    <t>bpcu\BPCULOADMANAGEMENT_ATRUOL.csv</t>
  </si>
  <si>
    <t>bpcu\BPCULOADMANAGEMENT_ATRUOL_ATRUOVERLOAD_787_9_10.csv</t>
  </si>
  <si>
    <t>bpcu\BPCULOADMANAGEMENT_ATRUOL_BPCUATRUOVERLOAD.csv</t>
  </si>
  <si>
    <t>bpcu\BPCULOADMANAGEMENT_CACTCS.csv</t>
  </si>
  <si>
    <t>bpcu\BPCULOADMANAGEMENT_HPX.csv</t>
  </si>
  <si>
    <t>bpcu\BPCULOADMANAGEMENT_HYDRAULICS.csv</t>
  </si>
  <si>
    <t>bpcu\BPCULOADMANAGEMENT_ICS.csv</t>
  </si>
  <si>
    <t>bpcu\BPCULOADMANAGEMENT_MES.csv</t>
  </si>
  <si>
    <t>bpcu\BPCULOADMANAGEMENT_PT.csv</t>
  </si>
  <si>
    <t>bpcu\BPCULOADMANAGEMENT_PT_LMPTONESHOT.csv</t>
  </si>
  <si>
    <t>bpcu\BPCULOADMANAGEMENT_PT_LMPTONESHOT_E.csv</t>
  </si>
  <si>
    <t>bpcu\BPCULOADMANAGEMENT_RESTORETRIGGERS.csv</t>
  </si>
  <si>
    <t>bpcu\BPCULOADMANAGEMENT_VFSGOL.csv</t>
  </si>
  <si>
    <t>bpcu\BPCULOADMANAGEMENT_VFSGOL_LMVFSGOLWIPSPSCCONSOLIDATOR.csv</t>
  </si>
  <si>
    <t>bpcu\BPCULOADMANAGEMENT2.csv</t>
  </si>
  <si>
    <t>bpcu\BPCULOADMANAGEMENT2_HIGHPOWERFUELCUTOFF.csv</t>
  </si>
  <si>
    <t>bpcu\BPCULOADMANAGEMENT2_LM_CACRUNSTOPCMDCONSOLIDATE.csv</t>
  </si>
  <si>
    <t>bpcu\BPCUMAINTENANCE.csv</t>
  </si>
  <si>
    <t>bpcu\BPCUOUTPUTPROCESSING.csv</t>
  </si>
  <si>
    <t>bpcu\BPCUPROTECTION.csv</t>
  </si>
  <si>
    <t>bpcu\BPCUSOFTCALIBRATION.csv</t>
  </si>
  <si>
    <t>bpcu\BPCUSOFTCALPROCESSING.csv</t>
  </si>
  <si>
    <t>bpcu\BPCUTOPLEVEL.csv</t>
  </si>
  <si>
    <t>bpcu\BPCUVFSGDISCONNECT.csv</t>
  </si>
  <si>
    <t>bpcu\BTB.csv</t>
  </si>
  <si>
    <t>bpcu\BTBFTCPROTECTION.csv</t>
  </si>
  <si>
    <t>bpcu\C1TRUISORLY.csv</t>
  </si>
  <si>
    <t>bpcu\C1TRUISORLY_CONTROL.csv</t>
  </si>
  <si>
    <t>bpcu\C1TRUISORLYFTCPROTECTION.csv</t>
  </si>
  <si>
    <t>bpcu\C1TRUOCPROTECTION.csv</t>
  </si>
  <si>
    <t>bpcu\C1TRURLY.csv</t>
  </si>
  <si>
    <t>bpcu\C1TRURLY_ALTERNATEPATH.csv</t>
  </si>
  <si>
    <t>bpcu\C1TRURLY_CONTROL.csv</t>
  </si>
  <si>
    <t>bpcu\C1TRURLYFTCPROTECTION.csv</t>
  </si>
  <si>
    <t>bpcu\C2TRUOCPROTECTION.csv</t>
  </si>
  <si>
    <t>bpcu\CBMATRIXUPDATE.csv</t>
  </si>
  <si>
    <t>bpcu\CHATTERPROTECTION.csv</t>
  </si>
  <si>
    <t>bpcu\CIT_CONTROL.csv</t>
  </si>
  <si>
    <t>bpcu\CPTFODCTIEBUSOCPROTECTION.csv</t>
  </si>
  <si>
    <t>bpcu\DCBUSCFER_ENGINE.csv</t>
  </si>
  <si>
    <t>bpcu\DCT.csv</t>
  </si>
  <si>
    <t>bpcu\DCTFTCPROTECTION.csv</t>
  </si>
  <si>
    <t>bpcu\DEBOUNCE_BACKUPBUSRAWTARSRCPATH.csv</t>
  </si>
  <si>
    <t>bpcu\DEBOUNCE_OWNATUBUSRAWTARSRC.csv</t>
  </si>
  <si>
    <t>bpcu\DETERMINE_AIRCRAFTMODE.csv</t>
  </si>
  <si>
    <t>bpcu\DETERMINE_AIRCRAFTMODE_LIBRARY.csv</t>
  </si>
  <si>
    <t>bpcu\DETERMINE_EPONLYENGINESTARTTYPE.csv</t>
  </si>
  <si>
    <t>bpcu\DETERMINE_PWRXFERSYSMODE.csv</t>
  </si>
  <si>
    <t>bpcu\DETERMINE_SYSXFESTATE.csv</t>
  </si>
  <si>
    <t>bpcu\EICAS115BUSISLNSTATUS.csv</t>
  </si>
  <si>
    <t>bpcu\EICAS115BUSSTATUS.csv</t>
  </si>
  <si>
    <t>bpcu\EICAS28VDCSTATUS.csv</t>
  </si>
  <si>
    <t>bpcu\EICASAPUBATTSTATUS.csv</t>
  </si>
  <si>
    <t>bpcu\EICASBACKUPBUSSTATUS.csv</t>
  </si>
  <si>
    <t>bpcu\EICASDCBUSSTATUS.csv</t>
  </si>
  <si>
    <t>bpcu\EICASELECATUSTATUS.csv</t>
  </si>
  <si>
    <t>bpcu\EICASELECPWRCTRLUNITSTATUS.csv</t>
  </si>
  <si>
    <t>bpcu\EICASELECSTANDBYSYSADV.csv</t>
  </si>
  <si>
    <t>bpcu\EICASELECTRUSTATUS.csv</t>
  </si>
  <si>
    <t>bpcu\EICASENGSTARTERSADV.csv</t>
  </si>
  <si>
    <t>bpcu\EICASFLTINSTBUSSTATUS.csv</t>
  </si>
  <si>
    <t>bpcu\EICASHOTBATTSTATUS.csv</t>
  </si>
  <si>
    <t>bpcu\EICASMAINBATTADV.csv</t>
  </si>
  <si>
    <t>bpcu\EICASMAINBATTSTATUS.csv</t>
  </si>
  <si>
    <t>bpcu\EICASNONESSSWADV.csv</t>
  </si>
  <si>
    <t>bpcu\EICASSTARTERSTATUS.csv</t>
  </si>
  <si>
    <t>bpcu\EICASSYSCTRLENBLSTATUS.csv</t>
  </si>
  <si>
    <t>bpcu\ELCUBSBTRIP.csv</t>
  </si>
  <si>
    <t>bpcu\ELCUCOORDINATION.csv</t>
  </si>
  <si>
    <t>bpcu\EPCFTCPROTECTION.csv</t>
  </si>
  <si>
    <t>bpcu\EPFREQUENCYDEBOUNCE.csv</t>
  </si>
  <si>
    <t>bpcu\EPOC2PROTECTION.csv</t>
  </si>
  <si>
    <t>bpcu\EPOCPROTECTION.csv</t>
  </si>
  <si>
    <t>bpcu\EPOFPROTECTION.csv</t>
  </si>
  <si>
    <t>bpcu\EPONLYENGINESTARTTYPE_LIBRARY.csv</t>
  </si>
  <si>
    <t>bpcu\EPONLYMESR115BUSRECONFIG.csv</t>
  </si>
  <si>
    <t>bpcu\EPOPENPHASEPROTECTION.csv</t>
  </si>
  <si>
    <t>bpcu\EPOPTST.csv</t>
  </si>
  <si>
    <t>bpcu\EPOPTSTMODE1.csv</t>
  </si>
  <si>
    <t>bpcu\EPOPTSTMODE1_ADJIT.csv</t>
  </si>
  <si>
    <t>bpcu\EPOPTSTMODE1_HOTBATTERYFEEDFET.csv</t>
  </si>
  <si>
    <t>bpcu\EPOPTSTMODE1_MBR.csv</t>
  </si>
  <si>
    <t>bpcu\EPOPTSTMODE1_OPPIT.csv</t>
  </si>
  <si>
    <t>bpcu\EPOPTSTMODE2.csv</t>
  </si>
  <si>
    <t>bpcu\EPOPTSTMODE2_FAN1.csv</t>
  </si>
  <si>
    <t>bpcu\EPOPTSTMODE2_FAN2.csv</t>
  </si>
  <si>
    <t>bpcu\EPOPTSTTOPLEVEL.csv</t>
  </si>
  <si>
    <t>bpcu\EPOVPROTECTION.csv</t>
  </si>
  <si>
    <t>bpcu\EPPHSEQPROTECTION.csv</t>
  </si>
  <si>
    <t>bpcu\EPPROTECTIONFLTLTCH.csv</t>
  </si>
  <si>
    <t>bpcu\EPSSWITCH.csv</t>
  </si>
  <si>
    <t>bpcu\EPUFPROTECTION.csv</t>
  </si>
  <si>
    <t>bpcu\EPUVPROTECTION.csv</t>
  </si>
  <si>
    <t>bpcu\ES_AESMODECOMMAND_EPCONNECTED.csv</t>
  </si>
  <si>
    <t>bpcu\ES_APUAUTOSTART.csv</t>
  </si>
  <si>
    <t>bpcu\ES_APUDATEMODE.csv</t>
  </si>
  <si>
    <t>bpcu\ES_CACAESMODE.csv</t>
  </si>
  <si>
    <t>bpcu\ES_GCUMODECOMMANDS.csv</t>
  </si>
  <si>
    <t>bpcu\ES_L1CACMESMODE.csv</t>
  </si>
  <si>
    <t>bpcu\ES_L2CACMESMODE.csv</t>
  </si>
  <si>
    <t>bpcu\ES_MESCONFIG.csv</t>
  </si>
  <si>
    <t>bpcu\ES_MESCONFIG_LMESPOWERINVALID.csv</t>
  </si>
  <si>
    <t>bpcu\ES_MESCONFIG_MESSOURCECHANGE.csv</t>
  </si>
  <si>
    <t>bpcu\ES_MESCONFIG_RMESPOWERINVALID.csv</t>
  </si>
  <si>
    <t>bpcu\ES_NOCMDMODECOMMAND.csv</t>
  </si>
  <si>
    <t>bpcu\ES_R1CACMESMODE.csv</t>
  </si>
  <si>
    <t>bpcu\ES_R2CACMESMODE.csv</t>
  </si>
  <si>
    <t>bpcu\ES_SIMULTANEOUSMESALLOWED.csv</t>
  </si>
  <si>
    <t>bpcu\ES_SOURCEAVAILABILITY.csv</t>
  </si>
  <si>
    <t>bpcu\ES_STARTCONFIGURATION.csv</t>
  </si>
  <si>
    <t>bpcu\ESICRESETS.csv</t>
  </si>
  <si>
    <t>bpcu\FAILSAFE_CONTACTOR_CONTROL.csv</t>
  </si>
  <si>
    <t>bpcu\FANCONTROL.csv</t>
  </si>
  <si>
    <t>bpcu\FANMONITOR.csv</t>
  </si>
  <si>
    <t>bpcu\FEP_POWER_AVAILABILITY.csv</t>
  </si>
  <si>
    <t>bpcu\FEPC.csv</t>
  </si>
  <si>
    <t>bpcu\FEPCRECEPTLAMP.csv</t>
  </si>
  <si>
    <t>bpcu\FEPCSWTLAMP.csv</t>
  </si>
  <si>
    <t>bpcu\FIT_CONTROL.csv</t>
  </si>
  <si>
    <t>bpcu\GET_FEPCOMMANDEDONSTATE.csv</t>
  </si>
  <si>
    <t>bpcu\GET_SYSCONTACTORSTATE.csv</t>
  </si>
  <si>
    <t>bpcu\GET_SYSCONTACTORSTATUS.csv</t>
  </si>
  <si>
    <t>bpcu\GROUNDHANDLINGMODE.csv</t>
  </si>
  <si>
    <t>bpcu\INHIBITAIR2GNDOPTST.csv</t>
  </si>
  <si>
    <t>bpcu\INHIBITEPOPTST.csv</t>
  </si>
  <si>
    <t>bpcu\INHIBITPWRUPOPTST.csv</t>
  </si>
  <si>
    <t>bpcu\INHIBITPWRXFER.csv</t>
  </si>
  <si>
    <t>bpcu\INSTBUSXFER_ENGINE.csv</t>
  </si>
  <si>
    <t>bpcu\IS_ASGONLYSRC.csv</t>
  </si>
  <si>
    <t>bpcu\IS_EPONLYMESRECONFIGURATION.csv</t>
  </si>
  <si>
    <t>bpcu\IS_INSTBUSESPWRSRCADJCTRU.csv</t>
  </si>
  <si>
    <t>bpcu\IS_PRIMARYSTANDBYINHIBIT.csv</t>
  </si>
  <si>
    <t>bpcu\L1BUSSRCVALID.csv</t>
  </si>
  <si>
    <t>bpcu\LATUBUSSRCVALID.csv</t>
  </si>
  <si>
    <t>bpcu\LDCT_CONTROL.csv</t>
  </si>
  <si>
    <t>bpcu\LMAIRCRAFTMODE.csv</t>
  </si>
  <si>
    <t>bpcu\LMAPUCAPACITY.csv</t>
  </si>
  <si>
    <t>bpcu\LMAPUEGT.csv</t>
  </si>
  <si>
    <t>bpcu\LMAPUENGSTART.csv</t>
  </si>
  <si>
    <t>bpcu\LMAPUINFLIGHTOVERLOADS.csv</t>
  </si>
  <si>
    <t>bpcu\LMAPUOLCACPWRAVAILCONSOLIDATOR.csv</t>
  </si>
  <si>
    <t>bpcu\LMAPUOLCACRSCONSOLIDATOR.csv</t>
  </si>
  <si>
    <t>bpcu\LMAPUONLYFLIGHT.csv</t>
  </si>
  <si>
    <t>bpcu\LMAPUOVERLOAD.csv</t>
  </si>
  <si>
    <t>bpcu\LMAPUPWRINGMULTIBUSINAIROL.csv</t>
  </si>
  <si>
    <t>bpcu\LMASGOVERLOAD.csv</t>
  </si>
  <si>
    <t>bpcu\LMASGOVERLOADCONSOLIDATOR.csv</t>
  </si>
  <si>
    <t>bpcu\LMASGOVERLOADLIBLR.csv</t>
  </si>
  <si>
    <t>bpcu\LMATRUCCONTROL.csv</t>
  </si>
  <si>
    <t>bpcu\LMATRUOVERLOAD.csv</t>
  </si>
  <si>
    <t>bpcu\LMATUOVERLOAD.csv</t>
  </si>
  <si>
    <t>bpcu\LMATUTRULOC.csv</t>
  </si>
  <si>
    <t>bpcu\LMAUTOGAP.csv</t>
  </si>
  <si>
    <t>bpcu\LMBATTERYONLYGROUND.csv</t>
  </si>
  <si>
    <t>bpcu\LMBATTERYREFUELING.csv</t>
  </si>
  <si>
    <t>bpcu\LMCACHYDRUNSTOPCMDCONSOLIDATE.csv</t>
  </si>
  <si>
    <t>bpcu\LMCACLOADSHED.csv</t>
  </si>
  <si>
    <t>bpcu\LMCACMCRUNSTOPCMDCONSOLIDATE.csv</t>
  </si>
  <si>
    <t>bpcu\LMCACPOWERAVAILABLE.csv</t>
  </si>
  <si>
    <t>bpcu\LMCACPWRAVAILCONSOLIDATE.csv</t>
  </si>
  <si>
    <t>bpcu\LMCACSTOPREOCCURANCE.csv</t>
  </si>
  <si>
    <t>bpcu\LMCACTCS.csv</t>
  </si>
  <si>
    <t>bpcu\LMCALCULATEGPUCURRENTLIMITS.csv</t>
  </si>
  <si>
    <t>bpcu\LMCARGOFIRE.csv</t>
  </si>
  <si>
    <t>bpcu\LMCMSCLSMBITCONSOLIDATOR.csv</t>
  </si>
  <si>
    <t>bpcu\LMCONSOLIDATEMISCCMDS.csv</t>
  </si>
  <si>
    <t>bpcu\LMECSFANS.csv</t>
  </si>
  <si>
    <t>bpcu\LMENGINEDYNAMICLOADLIMIT.csv</t>
  </si>
  <si>
    <t>bpcu\LMENGINEHPXLOADLIMITCONSOLIDATOR.csv</t>
  </si>
  <si>
    <t>bpcu\LMENGINEOVERLOAD.csv</t>
  </si>
  <si>
    <t>bpcu\LMENGINEOVERLOADRESPONSE.csv</t>
  </si>
  <si>
    <t>bpcu\LMEPCACPWRAVAIL.csv</t>
  </si>
  <si>
    <t>bpcu\LMEPCACPWRAVAILCONSOLIDATOR.csv</t>
  </si>
  <si>
    <t>bpcu\LMEPOVERLOAD.csv</t>
  </si>
  <si>
    <t>bpcu\LMEPRESTORE.csv</t>
  </si>
  <si>
    <t>bpcu\LMEXTERNALPOWERSTATUS.csv</t>
  </si>
  <si>
    <t>bpcu\LMFLAPSANDSLATSINMOTION.csv</t>
  </si>
  <si>
    <t>bpcu\LMFUEL.csv</t>
  </si>
  <si>
    <t>bpcu\LMGPUOLCACPWRAVAILCONSOLIDATOR.csv</t>
  </si>
  <si>
    <t>bpcu\LMGPUOVERLOAD.csv</t>
  </si>
  <si>
    <t>bpcu\LMGROUNDHANDLING.csv</t>
  </si>
  <si>
    <t>bpcu\LMHIGHIDLEREQUESTCONSOLIDATOR.csv</t>
  </si>
  <si>
    <t>bpcu\LMHIGHPOWERFUELCUTOFF.csv</t>
  </si>
  <si>
    <t>bpcu\LMHPXCACPWRAVAILCONSOLIDATOR.csv</t>
  </si>
  <si>
    <t>bpcu\LMHYDRAULICS.csv</t>
  </si>
  <si>
    <t>bpcu\LMICS.csv</t>
  </si>
  <si>
    <t>bpcu\LMICSPSCONSOLIDATION.csv</t>
  </si>
  <si>
    <t>bpcu\LMLOSSOFATUTRU.csv</t>
  </si>
  <si>
    <t>bpcu\LMLOSSOFCURRENTDATA.csv</t>
  </si>
  <si>
    <t>bpcu\LMLOSSOFNETWORKDATA.csv</t>
  </si>
  <si>
    <t>bpcu\LMLSMBITCONSOLIDATE.csv</t>
  </si>
  <si>
    <t>bpcu\LMMAINENGINESHEDFORHPX.csv</t>
  </si>
  <si>
    <t>bpcu\LMMAINENGINESTART.csv</t>
  </si>
  <si>
    <t>bpcu\LMMAINENGINESTARTINAIR.csv</t>
  </si>
  <si>
    <t>bpcu\LMMAINENGINESTARTONGND.csv</t>
  </si>
  <si>
    <t>bpcu\LMMAINTENANCEMODERESTORE.csv</t>
  </si>
  <si>
    <t>bpcu\LMNGS.csv</t>
  </si>
  <si>
    <t>bpcu\LMNGSPSCONSOLIDATION.csv</t>
  </si>
  <si>
    <t>bpcu\LMONGROUND400HZ.csv</t>
  </si>
  <si>
    <t>bpcu\LMPOWERTRANSFERS.csv</t>
  </si>
  <si>
    <t>bpcu\LMPRIORITYLISTMODES.csv</t>
  </si>
  <si>
    <t>bpcu\LMPRIORITYLISTRESTORETIMER.csv</t>
  </si>
  <si>
    <t>bpcu\LMPT_SENDCACRAW.csv</t>
  </si>
  <si>
    <t>bpcu\LMPTADDFINDEPCONFIGPTRLIB.csv</t>
  </si>
  <si>
    <t>bpcu\LMPTFINDEPCONFIGPTRLIB.csv</t>
  </si>
  <si>
    <t>bpcu\LMRESTORELATCHEDSHEDS.csv</t>
  </si>
  <si>
    <t>bpcu\LMRESTORETRIGGERS.csv</t>
  </si>
  <si>
    <t>bpcu\LMSELECTCALCULATEDCACPWRAVAILEP.csv</t>
  </si>
  <si>
    <t>bpcu\LMSETCURRENTSOURCE.csv</t>
  </si>
  <si>
    <t>bpcu\LMSINGLEVFSGFLIGHT.csv</t>
  </si>
  <si>
    <t>bpcu\LMSINGLEVFSGOVERLOAD.csv</t>
  </si>
  <si>
    <t>bpcu\LMSMOKECLEARING.csv</t>
  </si>
  <si>
    <t>bpcu\LMSOURCEAVAILABILITY.csv</t>
  </si>
  <si>
    <t>bpcu\LMSTANDBYMODE.csv</t>
  </si>
  <si>
    <t>bpcu\LMSUBSEQUENTHPXONGROUND.csv</t>
  </si>
  <si>
    <t>bpcu\LMTRUOVERLOAD.csv</t>
  </si>
  <si>
    <t>bpcu\LMVFSGLOADFAST.csv</t>
  </si>
  <si>
    <t>bpcu\LMVFSGOVERLOAD.csv</t>
  </si>
  <si>
    <t>bpcu\LMWHOSOURCESBUSES.csv</t>
  </si>
  <si>
    <t>bpcu\LMWIPSCYCLEREOCCURANCE.csv</t>
  </si>
  <si>
    <t>bpcu\LMWIPSLOSSOFENGINE.csv</t>
  </si>
  <si>
    <t>bpcu\LMWIPSPSCONSOLIDATION.csv</t>
  </si>
  <si>
    <t>bpcu\LMWIPSSHEDMODECONSOLIDATION.csv</t>
  </si>
  <si>
    <t>bpcu\LRATUBUSSTATE.csv</t>
  </si>
  <si>
    <t>bpcu\LRBTB_CONTROL.csv</t>
  </si>
  <si>
    <t>bpcu\LTRURLY_CONTROL.csv</t>
  </si>
  <si>
    <t>bpcu\MAINDCBUSOCPROTECTION.csv</t>
  </si>
  <si>
    <t>bpcu\MAINTATUTRU.csv</t>
  </si>
  <si>
    <t>bpcu\MAINTBATTERY.csv</t>
  </si>
  <si>
    <t>bpcu\MAINTDISCRETE.csv</t>
  </si>
  <si>
    <t>bpcu\MAINTENANCEMODE.csv</t>
  </si>
  <si>
    <t>bpcu\MAINTEP.csv</t>
  </si>
  <si>
    <t>bpcu\MAINTLMSYNOPTIC.csv</t>
  </si>
  <si>
    <t>bpcu\MAINTNORMMODE.csv</t>
  </si>
  <si>
    <t>bpcu\MAINTRAT.csv</t>
  </si>
  <si>
    <t>bpcu\MASTERSLAVE_AIRCRAFTMODE.csv</t>
  </si>
  <si>
    <t>bpcu\MBR.csv</t>
  </si>
  <si>
    <t>bpcu\MBR_CONTROL.csv</t>
  </si>
  <si>
    <t>bpcu\MULTITAPFTO.csv</t>
  </si>
  <si>
    <t>bpcu\MULTITAPRELAYS.csv</t>
  </si>
  <si>
    <t>bpcu\NEWV235SRCSELECTED.csv</t>
  </si>
  <si>
    <t>bpcu\NVM_SNAPSHOTTRIGGER.csv</t>
  </si>
  <si>
    <t>bpcu\OPERATIONALTESTS.csv</t>
  </si>
  <si>
    <t>bpcu\OPPATUBUSSRCVALID.csv</t>
  </si>
  <si>
    <t>bpcu\OPPBPCUFAILSAFE.csv</t>
  </si>
  <si>
    <t>bpcu\OPPBSB.csv</t>
  </si>
  <si>
    <t>bpcu\OPPBSBFTCPROTECTION.csv</t>
  </si>
  <si>
    <t>bpcu\OPPFWDEPSRCSTATE.csv</t>
  </si>
  <si>
    <t>bpcu\OPPIT.csv</t>
  </si>
  <si>
    <t>bpcu\OPPTRURLY.csv</t>
  </si>
  <si>
    <t>bpcu\OPPTRURLYFTCPROTECTION.csv</t>
  </si>
  <si>
    <t>bpcu\OSX_POSTINITFUNC.csv</t>
  </si>
  <si>
    <t>bpcu\OUTPUT_ACTUATION.csv</t>
  </si>
  <si>
    <t>bpcu\OWN115BUS.csv</t>
  </si>
  <si>
    <t>bpcu\OWN115BUSCURRSRC.csv</t>
  </si>
  <si>
    <t>bpcu\OWN115BUSSTATE.csv</t>
  </si>
  <si>
    <t>bpcu\OWN115BUSTARSRC.csv</t>
  </si>
  <si>
    <t>bpcu\OWN115BUSXFER_MANAGER.csv</t>
  </si>
  <si>
    <t>bpcu\OWNATUBUS.csv</t>
  </si>
  <si>
    <t>bpcu\OWNATUBUSCURRSRC.csv</t>
  </si>
  <si>
    <t>bpcu\OWNATUBUSRAWTARSRC.csv</t>
  </si>
  <si>
    <t>bpcu\OWNATUBUSSTATE.csv</t>
  </si>
  <si>
    <t>bpcu\OWNATUBUSTARSRC.csv</t>
  </si>
  <si>
    <t>bpcu\OWNATUBUSXFER.csv</t>
  </si>
  <si>
    <t>bpcu\OWNATUBUSXFER_MANAGER.csv</t>
  </si>
  <si>
    <t>bpcu\OWNFWDEPSRCSTATE.csv</t>
  </si>
  <si>
    <t>bpcu\PERFORM_ATUBUSXFER.csv</t>
  </si>
  <si>
    <t>bpcu\PERFORM_BACKUPBUSXFER.csv</t>
  </si>
  <si>
    <t>bpcu\PROT_NON_RETRIG_FALLING_EDGE_ONESHOTTD.csv</t>
  </si>
  <si>
    <t>bpcu\PWRUP_OPTSTS_BITE_EXECUTIVE.csv</t>
  </si>
  <si>
    <t>bpcu\PWRUPOPTST.csv</t>
  </si>
  <si>
    <t>bpcu\PWRUPOPTSTBBISORLYCONTACTORDRIVER.csv</t>
  </si>
  <si>
    <t>bpcu\PWRUPOPTSTBTBCONTACTORDRIVER.csv</t>
  </si>
  <si>
    <t>bpcu\PWRUPOPTSTC1TRURLYCONTACTORDRIVER.csv</t>
  </si>
  <si>
    <t>bpcu\PWRUPOPTSTCONTINUOUS.csv</t>
  </si>
  <si>
    <t>bpcu\PWRUPOPTSTCONTINUOUSTOPLEVEL.csv</t>
  </si>
  <si>
    <t>bpcu\PWRUPOPTSTDCTCONTACTORDRIVER.csv</t>
  </si>
  <si>
    <t>bpcu\PWRUPOPTSTMODE1.csv</t>
  </si>
  <si>
    <t>bpcu\PWRUPOPTSTMODE1_BBISORLY.csv</t>
  </si>
  <si>
    <t>bpcu\PWRUPOPTSTMODE1_BTB.csv</t>
  </si>
  <si>
    <t>bpcu\PWRUPOPTSTMODE1_C1TRUISORLY.csv</t>
  </si>
  <si>
    <t>bpcu\PWRUPOPTSTMODE1_C1TRURLY.csv</t>
  </si>
  <si>
    <t>bpcu\PWRUPOPTSTMODE1_DCT.csv</t>
  </si>
  <si>
    <t>bpcu\PWRUPOPTSTMODE4.csv</t>
  </si>
  <si>
    <t>bpcu\PWRUPOPTSTMODE4_ADJBSBRLY.csv</t>
  </si>
  <si>
    <t>bpcu\PWRUPOPTSTMODE4_ADJTRURLY.csv</t>
  </si>
  <si>
    <t>bpcu\PWRUPOPTSTMODE4_C1TRUISORLY.csv</t>
  </si>
  <si>
    <t>bpcu\R2BUSSRCVALID.csv</t>
  </si>
  <si>
    <t>bpcu\RCB.csv</t>
  </si>
  <si>
    <t>bpcu\RDCT_CONTROL.csv</t>
  </si>
  <si>
    <t>bpcu\RECONFIGSTATUS.csv</t>
  </si>
  <si>
    <t>bpcu\RISINGEDGETIMEDELAY.csv</t>
  </si>
  <si>
    <t>bpcu\RTRURLY_CONTROL.csv</t>
  </si>
  <si>
    <t>bpcu\SELECT_INPUTS.csv</t>
  </si>
  <si>
    <t>bpcu\SELECTOUTPUTS.csv</t>
  </si>
  <si>
    <t>bpcu\SET_SECONDARYSTANDBYINHIBIT.csv</t>
  </si>
  <si>
    <t>bpcu\SHUTDOWN_ISR.csv</t>
  </si>
  <si>
    <t>bpcu\SNGL235SRC_ALTERNATEPATH.csv</t>
  </si>
  <si>
    <t>bpcu\SNGL235SRC_R2BUSALTERNATEPATH.csv</t>
  </si>
  <si>
    <t>bpcu\SNGLSRC_SPLITSYS_ALTERNATEPATH.csv</t>
  </si>
  <si>
    <t>bpcu\SNGLSRC115TO115XFER.csv</t>
  </si>
  <si>
    <t>bpcu\SPLIT235AND115SYS.csv</t>
  </si>
  <si>
    <t>bpcu\SPLIT235AND115XFER.csv</t>
  </si>
  <si>
    <t>bpcu\SPSPROTECTION.csv</t>
  </si>
  <si>
    <t>bpcu\SRCID.csv</t>
  </si>
  <si>
    <t>bpcu\SSIDESNGLSRC115TO235XFER.csv</t>
  </si>
  <si>
    <t>bpcu\SSIDESNGLSRC235TO115XFER.csv</t>
  </si>
  <si>
    <t>bpcu\SSX_POSTINIT.csv</t>
  </si>
  <si>
    <t>bpcu\STIMFET.csv</t>
  </si>
  <si>
    <t>bpcu\TRUXFER_ENGINE.csv</t>
  </si>
  <si>
    <t>bpcu\UV2PROTFROMGCU.csv</t>
  </si>
  <si>
    <t>bpcu\V115BUSUV.csv</t>
  </si>
  <si>
    <t>bpcu\V115BUSXFER.csv</t>
  </si>
  <si>
    <t>bpcu\V115BUSXFER_ENGINE.csv</t>
  </si>
  <si>
    <t>bpcu\V235SRCSSTATE.csv</t>
  </si>
  <si>
    <t>gcu\ABORTAIR2GNDOPTST.csv</t>
  </si>
  <si>
    <t>gcu\ABORTCMSCINITIATEDOPTST.csv</t>
  </si>
  <si>
    <t>gcu\ABORTEPOPTST.csv</t>
  </si>
  <si>
    <t>gcu\ABORTPWRUPOPTST.csv</t>
  </si>
  <si>
    <t>gcu\ACBE_GENTESTLOAD.csv</t>
  </si>
  <si>
    <t>gcu\ACBE_LOGIC.csv</t>
  </si>
  <si>
    <t>gcu\ACINTERLOCK.csv</t>
  </si>
  <si>
    <t>gcu\ADJATRUCCONTROL.csv</t>
  </si>
  <si>
    <t>gcu\ADJATUBUSSRCPRIORITY.csv</t>
  </si>
  <si>
    <t>gcu\ADJGCUUFAILSAFE.csv</t>
  </si>
  <si>
    <t>gcu\ADJL235BUSSRCPRIORITY.csv</t>
  </si>
  <si>
    <t>gcu\ADJR235BUSSRCPRIORITY.csv</t>
  </si>
  <si>
    <t>gcu\AEP_POWER_AVAILABILITY.csv</t>
  </si>
  <si>
    <t>gcu\AEPC.csv</t>
  </si>
  <si>
    <t>gcu\AEPCCHATTERPROTECTION.csv</t>
  </si>
  <si>
    <t>gcu\AEPCCONTROL.csv</t>
  </si>
  <si>
    <t>gcu\AEPCFTCPROTECTION.csv</t>
  </si>
  <si>
    <t>gcu\AEPRECPTLAMP.csv</t>
  </si>
  <si>
    <t>gcu\AEPSWTLAMP.csv</t>
  </si>
  <si>
    <t>gcu\AFSR_CALLBACK.csv</t>
  </si>
  <si>
    <t>gcu\AFTEPATRUHVDCUVPROT.csv</t>
  </si>
  <si>
    <t>gcu\AFTEPATRUOTPROT.csv</t>
  </si>
  <si>
    <t>gcu\AFTEPATRUSATURATION.csv</t>
  </si>
  <si>
    <t>gcu\AFTEPMAINTENANCE.csv</t>
  </si>
  <si>
    <t>gcu\AGCUOC2LOCKRESETS.csv</t>
  </si>
  <si>
    <t>gcu\AIR2GNDOPTST.csv</t>
  </si>
  <si>
    <t>gcu\AIR2GNDOPTSTMODE1.csv</t>
  </si>
  <si>
    <t>gcu\AIR2GNDOPTSTMODE1_HOTBATTERYFEEDFET.csv</t>
  </si>
  <si>
    <t>gcu\AIR2GNDOPTSTMODE2.csv</t>
  </si>
  <si>
    <t>gcu\AIR2GNDOPTSTMODE2_FAN1.csv</t>
  </si>
  <si>
    <t>gcu\AIR2GNDOPTSTMODE2_FAN2.csv</t>
  </si>
  <si>
    <t>gcu\AIR2GNDOPTSTTOPLEVEL.csv</t>
  </si>
  <si>
    <t>gcu\ANY_LRUFAILED.csv</t>
  </si>
  <si>
    <t>gcu\ASGENGSTART.csv</t>
  </si>
  <si>
    <t>gcu\ASGOC2ISOLATION.csv</t>
  </si>
  <si>
    <t>gcu\ASGOC2PROTECTION.csv</t>
  </si>
  <si>
    <t>gcu\ASGOCISOLATION.csv</t>
  </si>
  <si>
    <t>gcu\ASGOCPROTECTION.csv</t>
  </si>
  <si>
    <t>gcu\ASGOF1PROTECTION.csv</t>
  </si>
  <si>
    <t>gcu\ASGOF2PROTECTION.csv</t>
  </si>
  <si>
    <t>gcu\ASGSRDFAILSAFEPROTECTION.csv</t>
  </si>
  <si>
    <t>gcu\ASGUFPROTECTION.csv</t>
  </si>
  <si>
    <t>gcu\ASGUNDERSPEED.csv</t>
  </si>
  <si>
    <t>gcu\ASGUSCYCLING.csv</t>
  </si>
  <si>
    <t>gcu\ASGUV2PROTECTION.csv</t>
  </si>
  <si>
    <t>gcu\ATRUC.csv</t>
  </si>
  <si>
    <t>gcu\ATRUCFTCPROTECTION.csv</t>
  </si>
  <si>
    <t>gcu\ATRUCFTO.csv</t>
  </si>
  <si>
    <t>gcu\ATRUCPROTTRIPRQST.csv</t>
  </si>
  <si>
    <t>gcu\ATRUMAINTENANCE.csv</t>
  </si>
  <si>
    <t>gcu\ATRURIPPLE1PROT.csv</t>
  </si>
  <si>
    <t>gcu\ATRURIPPLE2PROT.csv</t>
  </si>
  <si>
    <t>gcu\ATRURIPPLEPROT.csv</t>
  </si>
  <si>
    <t>gcu\ATRUUNBVOLTPROT.csv</t>
  </si>
  <si>
    <t>gcu\ATUC.csv</t>
  </si>
  <si>
    <t>gcu\ATUCFTCPROTECTION.csv</t>
  </si>
  <si>
    <t>gcu\ATUCFTO1.csv</t>
  </si>
  <si>
    <t>gcu\ATUCFTO2.csv</t>
  </si>
  <si>
    <t>gcu\ATUCFTO3.csv</t>
  </si>
  <si>
    <t>gcu\BBRLY.csv</t>
  </si>
  <si>
    <t>gcu\BBRLYFTCPROTECTION.csv</t>
  </si>
  <si>
    <t>gcu\BBRLYFTO.csv</t>
  </si>
  <si>
    <t>gcu\BEARINGROTORPROTECTION.csv</t>
  </si>
  <si>
    <t>gcu\BITE_EXECUTIVE.csv</t>
  </si>
  <si>
    <t>gcu\BITE_HOOKS_AND_HANDLES.csv</t>
  </si>
  <si>
    <t>gcu\BITE_IO.csv</t>
  </si>
  <si>
    <t>gcu\BITE_UPDATE_DESIGN_NOTES.csv</t>
  </si>
  <si>
    <t>gcu\BITE_UPDATE_SOFTWARE_HOOKS_OTHERS.csv</t>
  </si>
  <si>
    <t>gcu\BUSATRUPROTECTION.csv</t>
  </si>
  <si>
    <t>gcu\BUSOFFMAINTENANCE.csv</t>
  </si>
  <si>
    <t>gcu\BUSSYNOPTICS.csv</t>
  </si>
  <si>
    <t>gcu\BUSUVPROTECTON.csv</t>
  </si>
  <si>
    <t>gcu\CALCULATE_PMGFREQUENCY.csv</t>
  </si>
  <si>
    <t>gcu\CHATTERPROTECTION.csv</t>
  </si>
  <si>
    <t>gcu\CMSCINITIATEDOPTST.csv</t>
  </si>
  <si>
    <t>gcu\CMSCINITIATEDOPTST_ATRUCCACTRIPRQST.csv</t>
  </si>
  <si>
    <t>gcu\CMSCINITIATEDOPTST_ATRUCEMPTRIPRQST.csv</t>
  </si>
  <si>
    <t>gcu\CMSCINITIATEDOPTST_STARTCONTACTORS.csv</t>
  </si>
  <si>
    <t>gcu\CMSCINITIATEDOPTSTTOPLEVEL.csv</t>
  </si>
  <si>
    <t>gcu\CMSCSAFEINLKPROT.csv</t>
  </si>
  <si>
    <t>gcu\CONTACTORPROTCOORD.csv</t>
  </si>
  <si>
    <t>gcu\DCCONTENTPROTECTION.csv</t>
  </si>
  <si>
    <t>gcu\DCLINKMONPROTECTION.csv</t>
  </si>
  <si>
    <t>gcu\DEBOUNCE_OWN235BUSRAWTARSRC.csv</t>
  </si>
  <si>
    <t>gcu\DETERMINE_AIRCRAFTMODE.csv</t>
  </si>
  <si>
    <t>gcu\DETERMINE_AIRCRAFTMODE_LIBRARY.csv</t>
  </si>
  <si>
    <t>gcu\DETERMINE_OVTPUFAULT.csv</t>
  </si>
  <si>
    <t>gcu\DPPROTECTION.csv</t>
  </si>
  <si>
    <t>gcu\DUALASGCONTROL.csv</t>
  </si>
  <si>
    <t>gcu\DUALASGMODE.csv</t>
  </si>
  <si>
    <t>gcu\EICASACBUSCAUTION.csv</t>
  </si>
  <si>
    <t>gcu\EICASELECATUSTATUS.csv</t>
  </si>
  <si>
    <t>gcu\EICASGENCTRLSTATUS.csv</t>
  </si>
  <si>
    <t>gcu\EICASGENDEBRISSTATUS.csv</t>
  </si>
  <si>
    <t>gcu\EICASGENDRIVEADV.csv</t>
  </si>
  <si>
    <t>gcu\EICASGENOFFADV.csv</t>
  </si>
  <si>
    <t>gcu\EICASGENSYSSTATUS.csv</t>
  </si>
  <si>
    <t>gcu\EICASHVDCSTATUS.csv</t>
  </si>
  <si>
    <t>gcu\EICASMAINACISLNSTATUS.csv</t>
  </si>
  <si>
    <t>gcu\ELCUPROTCOORD.csv</t>
  </si>
  <si>
    <t>gcu\ENGINESTARTCONTACTORSTATUS.csv</t>
  </si>
  <si>
    <t>gcu\ENGSTARTINHIBIT.csv</t>
  </si>
  <si>
    <t>gcu\EPAFTCONTROL.csv</t>
  </si>
  <si>
    <t>gcu\EPAFTPROTECTIONS.csv</t>
  </si>
  <si>
    <t>gcu\EPDCCONTENTPROTECTION.csv</t>
  </si>
  <si>
    <t>gcu\EPFREQUENCYDEBOUNCE.csv</t>
  </si>
  <si>
    <t>gcu\EPOCPROTECTION.csv</t>
  </si>
  <si>
    <t>gcu\EPOFPROTECTION.csv</t>
  </si>
  <si>
    <t>gcu\EPONLYENGINESTARTTYPE.csv</t>
  </si>
  <si>
    <t>gcu\EPONLYENGINESTARTTYPE_LIBRARY.csv</t>
  </si>
  <si>
    <t>gcu\EPOPENPHASEPROTECTION.csv</t>
  </si>
  <si>
    <t>gcu\EPOPTST.csv</t>
  </si>
  <si>
    <t>gcu\EPOPTSTMODE1.csv</t>
  </si>
  <si>
    <t>gcu\EPOPTSTMODE1_HOTBATTERYFEEDFET.csv</t>
  </si>
  <si>
    <t>gcu\EPOPTSTMODE2.csv</t>
  </si>
  <si>
    <t>gcu\EPOPTSTMODE2_FAN1.csv</t>
  </si>
  <si>
    <t>gcu\EPOPTSTMODE2_FAN2.csv</t>
  </si>
  <si>
    <t>gcu\EPOPTSTTOPLEVEL.csv</t>
  </si>
  <si>
    <t>gcu\EPOVPROTECTION.csv</t>
  </si>
  <si>
    <t>gcu\EPPHSEQPROTECTION.csv</t>
  </si>
  <si>
    <t>gcu\EPPROTECTIONFLTLTCH.csv</t>
  </si>
  <si>
    <t>gcu\EPSSWITCH.csv</t>
  </si>
  <si>
    <t>gcu\EPUFPROTECTION.csv</t>
  </si>
  <si>
    <t>gcu\EPUVPROTECTION.csv</t>
  </si>
  <si>
    <t>gcu\ESICRESETS.csv</t>
  </si>
  <si>
    <t>gcu\ETPUTEST.csv</t>
  </si>
  <si>
    <t>gcu\FAILSAFE_CONTACTOR_CONTROL.csv</t>
  </si>
  <si>
    <t>gcu\FANCONTROL.csv</t>
  </si>
  <si>
    <t>gcu\FANMONITOR.csv</t>
  </si>
  <si>
    <t>gcu\FIRESWITCHMON.csv</t>
  </si>
  <si>
    <t>gcu\GCB_APB.csv</t>
  </si>
  <si>
    <t>gcu\GCBAPBFTCPROTECTION.csv</t>
  </si>
  <si>
    <t>gcu\GCBAPBFTO.csv</t>
  </si>
  <si>
    <t>gcu\GCSSWITCH.csv</t>
  </si>
  <si>
    <t>gcu\GCU_EICAS.csv</t>
  </si>
  <si>
    <t>gcu\GCU_FTOPROTECTIONS.csv</t>
  </si>
  <si>
    <t>gcu\GCU_MAIN.csv</t>
  </si>
  <si>
    <t>gcu\GCU_POWER_TRANSFER.csv</t>
  </si>
  <si>
    <t>gcu\GCU_PWRUP_OPTSTS.csv</t>
  </si>
  <si>
    <t>gcu\GCU_PWRUP_OPTSTS_OUTPUT_DRIVERS.csv</t>
  </si>
  <si>
    <t>gcu\GCU_PWRUP_OPTSTS_TOPLEVEL.csv</t>
  </si>
  <si>
    <t>gcu\GCUCONTROL.csv</t>
  </si>
  <si>
    <t>gcu\GCUMAINTENANCE.csv</t>
  </si>
  <si>
    <t>gcu\GCUTOPLEVEL.csv</t>
  </si>
  <si>
    <t>gcu\GEC1.csv</t>
  </si>
  <si>
    <t>gcu\GEC2.csv</t>
  </si>
  <si>
    <t>gcu\GEC3.csv</t>
  </si>
  <si>
    <t>gcu\GEC3CONTROL.csv</t>
  </si>
  <si>
    <t>gcu\GEN_POWER_AVAILABILITY.csv</t>
  </si>
  <si>
    <t>gcu\GENOPENPHASEPROTECTION.csv</t>
  </si>
  <si>
    <t>gcu\GENOV1PROTECTION.csv</t>
  </si>
  <si>
    <t>gcu\GENUVPROTECTION.csv</t>
  </si>
  <si>
    <t>gcu\GET_FEPCOMMANDEDONSTATE.csv</t>
  </si>
  <si>
    <t>gcu\GET_SYSYCONTACTORSTATE.csv</t>
  </si>
  <si>
    <t>gcu\GET_SYSYCONTACTORSTATUS.csv</t>
  </si>
  <si>
    <t>gcu\GETSUOPTEST.csv</t>
  </si>
  <si>
    <t>gcu\GETSUPROTECTION.csv</t>
  </si>
  <si>
    <t>gcu\GNR.csv</t>
  </si>
  <si>
    <t>gcu\INHIBITAIR2GNDOPTST.csv</t>
  </si>
  <si>
    <t>gcu\INHIBITCMSCINITIATEDOPTST.csv</t>
  </si>
  <si>
    <t>gcu\INHIBITEPOPTST.csv</t>
  </si>
  <si>
    <t>gcu\INHIBITPWRUPOPTST.csv</t>
  </si>
  <si>
    <t>gcu\INHIBITPWRXFER.csv</t>
  </si>
  <si>
    <t>gcu\INPUTPROCESSING.csv</t>
  </si>
  <si>
    <t>gcu\IS_EPONLYMES_RECONFIGURATION.csv</t>
  </si>
  <si>
    <t>gcu\LASTSOURCEAIR.csv</t>
  </si>
  <si>
    <t>gcu\LRUPOSITION.csv</t>
  </si>
  <si>
    <t>gcu\MAINENGSTART.csv</t>
  </si>
  <si>
    <t>gcu\MASTERSLAVE_AIRCRAFTMODE.csv</t>
  </si>
  <si>
    <t>gcu\NEWV235SRC.csv</t>
  </si>
  <si>
    <t>gcu\NVM_SNAPSHOTTRIGGER.csv</t>
  </si>
  <si>
    <t>gcu\OPENGENCTPROTECTION.csv</t>
  </si>
  <si>
    <t>gcu\OPERATIONALTESTS.csv</t>
  </si>
  <si>
    <t>gcu\OPTSTOILDEBRISMONITOR.csv</t>
  </si>
  <si>
    <t>gcu\OSX_POSTINITFUNC.csv</t>
  </si>
  <si>
    <t>gcu\OUTPUT_ACTUATION.csv</t>
  </si>
  <si>
    <t>gcu\OUTPUTPROCESSING.csv</t>
  </si>
  <si>
    <t>gcu\OVTPUISOLATION.csv</t>
  </si>
  <si>
    <t>gcu\OVTPUTEST.csv</t>
  </si>
  <si>
    <t>gcu\OWN235BUS.csv</t>
  </si>
  <si>
    <t>gcu\OWN235BUSCURRSRC.csv</t>
  </si>
  <si>
    <t>gcu\OWN235BUSRAWTARSRC.csv</t>
  </si>
  <si>
    <t>gcu\OWN235BUSSTATE.csv</t>
  </si>
  <si>
    <t>gcu\OWN235BUSTARSRC.csv</t>
  </si>
  <si>
    <t>gcu\OWN235BUSXFER.csv</t>
  </si>
  <si>
    <t>gcu\OWN235BUSXFER_MANAGER.csv</t>
  </si>
  <si>
    <t>gcu\OWN270BUS.csv</t>
  </si>
  <si>
    <t>gcu\OWNSRCAVAILABILITY.csv</t>
  </si>
  <si>
    <t>gcu\PERFORM_235BUSXFER.csv</t>
  </si>
  <si>
    <t>gcu\PHSEQPROTECTION.csv</t>
  </si>
  <si>
    <t>gcu\PORMAINTENANCE.csv</t>
  </si>
  <si>
    <t>gcu\PROTECTIONFLTLTCH.csv</t>
  </si>
  <si>
    <t>gcu\PWRUP_OPTSTS_BITE_EXECUTIVE.csv</t>
  </si>
  <si>
    <t>gcu\PWRUPOPTST.csv</t>
  </si>
  <si>
    <t>gcu\PWRUPOPTSTATUCCONTACTORDRIVER.csv</t>
  </si>
  <si>
    <t>gcu\PWRUPOPTSTCONTINUOUS.csv</t>
  </si>
  <si>
    <t>gcu\PWRUPOPTSTCONTINUOUSTOPLEVEL.csv</t>
  </si>
  <si>
    <t>gcu\PWRUPOPTSTMODE1.csv</t>
  </si>
  <si>
    <t>gcu\PWRUPOPTSTMODE1_ATRUCELCUTRIPRQST.csv</t>
  </si>
  <si>
    <t>gcu\PWRUPOPTSTMODE1_ATUC.csv</t>
  </si>
  <si>
    <t>gcu\PWRUPOPTSTMODE1_ATUCELCUTRIPRQST.csv</t>
  </si>
  <si>
    <t>gcu\PWRUPOPTSTMODE2.csv</t>
  </si>
  <si>
    <t>gcu\PWRUPOPTSTMODE2_ATUCELCUTRIPRQST.csv</t>
  </si>
  <si>
    <t>gcu\PWRUPOPTSTMODE2_TIEBTB.csv</t>
  </si>
  <si>
    <t>gcu\PWRUPOPTSTMODE3.csv</t>
  </si>
  <si>
    <t>gcu\PWRUPOPTSTMODE3_TIEBTB.csv</t>
  </si>
  <si>
    <t>gcu\PWRUPOPTSTMODE4.csv</t>
  </si>
  <si>
    <t>gcu\PWRUPOPTSTMODE4_ATUC.csv</t>
  </si>
  <si>
    <t>gcu\PWRUPOPTSTTIEBTBCONTACTORDRIVER.csv</t>
  </si>
  <si>
    <t>gcu\RECONFIGEPONLYMES.csv</t>
  </si>
  <si>
    <t>gcu\RECONFIGSTATUS.csv</t>
  </si>
  <si>
    <t>gcu\RFMCINITIATEDOPTST.csv</t>
  </si>
  <si>
    <t>gcu\RFMCINITIATEDOPTSTTOPLEVEL.csv</t>
  </si>
  <si>
    <t>gcu\RINGBTB.csv</t>
  </si>
  <si>
    <t>gcu\RINGBTBFTCPROTECTION.csv</t>
  </si>
  <si>
    <t>gcu\RINGBTBFTO.csv</t>
  </si>
  <si>
    <t>gcu\ROLSPROTECTION.csv</t>
  </si>
  <si>
    <t>gcu\ROTORBURSTPROTECTION.csv</t>
  </si>
  <si>
    <t>gcu\SELECTINPUTS.csv</t>
  </si>
  <si>
    <t>gcu\SELECTOUTPUTS.csv</t>
  </si>
  <si>
    <t>gcu\SNGLSRC_SPLITSYS_ALTERNATEPATH.csv</t>
  </si>
  <si>
    <t>gcu\SOFTCALIBRATION.csv</t>
  </si>
  <si>
    <t>gcu\SOFTCALPROCESSING.csv</t>
  </si>
  <si>
    <t>gcu\SPLIT235AND115SYS.csv</t>
  </si>
  <si>
    <t>gcu\SRCID.csv</t>
  </si>
  <si>
    <t>gcu\SRCPRIORITYTBL.csv</t>
  </si>
  <si>
    <t>gcu\SSIDESNGLSRC115TO235XXER.csv</t>
  </si>
  <si>
    <t>gcu\SSIDESNGLSRC235TO115XFER.csv</t>
  </si>
  <si>
    <t>gcu\STAGGER_XFERS.csv</t>
  </si>
  <si>
    <t>gcu\STARTCONTCONTROL.csv</t>
  </si>
  <si>
    <t>gcu\TBDPPROTECTION.csv</t>
  </si>
  <si>
    <t>gcu\TIEBTB.csv</t>
  </si>
  <si>
    <t>gcu\TIEBTBFTCPROTECTION.csv</t>
  </si>
  <si>
    <t>gcu\TIEBTBFTO1.csv</t>
  </si>
  <si>
    <t>gcu\TIEBTBFTO2.csv</t>
  </si>
  <si>
    <t>gcu\UPFPROTECTION.csv</t>
  </si>
  <si>
    <t>gcu\V235ATRUHVDCUVPROT.csv</t>
  </si>
  <si>
    <t>gcu\V235ATRUOTPROT.csv</t>
  </si>
  <si>
    <t>gcu\V235ATRUSATURATION.csv</t>
  </si>
  <si>
    <t>gcu\V235BUS_PATH.csv</t>
  </si>
  <si>
    <t>gcu\V235BUSXFER_ENGINE.csv</t>
  </si>
  <si>
    <t>gcu\V270BUSSTATE.csv</t>
  </si>
  <si>
    <t>gcu\V270BUSXFER_ENGINE.csv</t>
  </si>
  <si>
    <t>gcu\VFSGASGPROTECTIONS.csv</t>
  </si>
  <si>
    <t>gcu\VFSGDISCMAINTENANCE.csv</t>
  </si>
  <si>
    <t>gcu\VFSGDISCONNECT.csv</t>
  </si>
  <si>
    <t>gcu\VFSGOC2ISOLATION.csv</t>
  </si>
  <si>
    <t>gcu\VFSGOC2PROTECTION.csv</t>
  </si>
  <si>
    <t>gcu\VFSGOCISOLATION.csv</t>
  </si>
  <si>
    <t>gcu\VFSGOCPROTECTION.csv</t>
  </si>
  <si>
    <t>gcu\VFSGOCPROTECTIONUS.csv</t>
  </si>
  <si>
    <t>gcu\VFSGOFPROTECTION.csv</t>
  </si>
  <si>
    <t>gcu\VFSGOILPRESSUREMONITOR.csv</t>
  </si>
  <si>
    <t>gcu\VFSGSRDFAILSAFEPROTECTION.csv</t>
  </si>
  <si>
    <t>gcu\VFSGUF1PROTECTION.csv</t>
  </si>
  <si>
    <t>gcu\VFSGUNDERSPEED.csv</t>
  </si>
  <si>
    <t>gcu\VFSGUV2PROTECTION.csv</t>
  </si>
  <si>
    <t>gcu\VRCONTROL.csv</t>
  </si>
  <si>
    <t>gcu\XFERMODES.csv</t>
  </si>
  <si>
    <t>gcu\XFERSTATE.csv</t>
  </si>
  <si>
    <t>gcu\XFERSTATUS.csv</t>
  </si>
  <si>
    <t>BPCU A-B</t>
  </si>
  <si>
    <t>BPCU C-I</t>
  </si>
  <si>
    <t>BPCU L-N</t>
  </si>
  <si>
    <t>BPCU O-V</t>
  </si>
  <si>
    <t>GCU A-D</t>
  </si>
  <si>
    <t>GCU E-I</t>
  </si>
  <si>
    <t>GCU L-P</t>
  </si>
  <si>
    <t>GCU R-X</t>
  </si>
  <si>
    <t>gcu\LVPS_DETECT.csv</t>
  </si>
  <si>
    <t>gcu\SSX_PREINIT.csv</t>
  </si>
  <si>
    <t>bpcu\BPCULOADMANAGEMENT_APUOL_RESTORELATCHEDSHEDS.csv</t>
  </si>
  <si>
    <t>bpcu\LVPS_DETECT.csv</t>
  </si>
  <si>
    <t>bpcu\SSX_PREINIT.csv</t>
  </si>
  <si>
    <t>gcu\SSX_POSTINIT.csv</t>
  </si>
  <si>
    <t>bpcu\CONDITIONFIXEDTD.csv</t>
  </si>
  <si>
    <t>bpcu\CONDITIONFIXEDTDWITHINHIBIT.csv</t>
  </si>
  <si>
    <t>bpcu\LM_SHEDRESTORE.csv</t>
  </si>
  <si>
    <t>bpcu\RESET_SHUTDOWN_HWINTERRUPT.csv</t>
  </si>
  <si>
    <t>bpcu\RT_ENAB.csv</t>
  </si>
  <si>
    <t>bpcu\UNDERPROTECTIONWITHINHIBITANDCONDITION.csv</t>
  </si>
  <si>
    <t>bpcu\MEMSET.csv</t>
  </si>
  <si>
    <t>bpcu\ONESHOTTD_FALLING_EDGE.csv</t>
  </si>
  <si>
    <t>bpcu\ONESHOTTD_RISING_EDGE.csv</t>
  </si>
  <si>
    <t>bpcu\OVERPROTECTIONWITHINHIBITANDCONDITION.csv</t>
  </si>
  <si>
    <t>gcu\CONDITIONFIXEDTD.csv</t>
  </si>
  <si>
    <t>gcu\CONDITIONFIXEDTDWITHINHIBIT.csv</t>
  </si>
  <si>
    <t>gcu\ONESHOTTD_FALLING_EDGE.csv</t>
  </si>
  <si>
    <t>gcu\ONESHOTTD_RISING_EDGE.csv</t>
  </si>
  <si>
    <t>gcu\OVERPROTECTIONWITHINHIBITANDCONDITION.csv</t>
  </si>
  <si>
    <t>gcu\RT_ENAB.csv</t>
  </si>
  <si>
    <t>gcu\UNDERPROTECTIONWITHINHIBITANDCONDITION.csv</t>
  </si>
  <si>
    <t>RECONFIGEPONLYMES.C :</t>
  </si>
  <si>
    <t>Statement blocks ............ 100.0% (6/6)</t>
  </si>
  <si>
    <t>Implicit blocks .............   none</t>
  </si>
  <si>
    <t>Decisions ................... 100.0% (6/6)</t>
  </si>
  <si>
    <t>Basic conditions ............ 100.0% (30/30)</t>
  </si>
  <si>
    <t>Modified conditions ......... 100.0% (15/15)</t>
  </si>
  <si>
    <t>Is_Reconfig_EPOnlyMES_Init :</t>
  </si>
  <si>
    <t>Statement blocks ............ 100.0% (1/1)</t>
  </si>
  <si>
    <t>Decisions ................... 100.0% (1/1)</t>
  </si>
  <si>
    <t>Basic conditions ............   none</t>
  </si>
  <si>
    <t>Modified conditions .........   none</t>
  </si>
  <si>
    <t>Is_Reconfig_EPOnlyMES :</t>
  </si>
  <si>
    <t>Statement blocks ............ 100.0% (5/5)</t>
  </si>
  <si>
    <t>Decisions ................... 100.0% (5/5)</t>
  </si>
  <si>
    <t>RECONFIGEPONLYMES</t>
  </si>
  <si>
    <t>RECONFIGSTATUS.C :</t>
  </si>
  <si>
    <t>Statement blocks ............  96.6% (28/29)</t>
  </si>
  <si>
    <t>Implicit blocks ............. 100.0% (1/1)</t>
  </si>
  <si>
    <t>Decisions ...................  96.7% (29/30)</t>
  </si>
  <si>
    <t>Basic conditions ............  96.8% (30/31)</t>
  </si>
  <si>
    <t>Modified conditions ......... 100.0% (2/2)</t>
  </si>
  <si>
    <t>Determine_ReconfigStatus_Disable :</t>
  </si>
  <si>
    <t>Determine_ReconfigStatus_Start :</t>
  </si>
  <si>
    <t>Determine_ReconfigStatus :</t>
  </si>
  <si>
    <t>Statement blocks ............  96.3% (26/27)</t>
  </si>
  <si>
    <t>/default, line 270</t>
  </si>
  <si>
    <t>Decisions ...................  96.4% (27/28)</t>
  </si>
  <si>
    <t>"default", line 270</t>
  </si>
  <si>
    <t>RECONFIGSTATUS</t>
  </si>
  <si>
    <t>RFMCINITIATEDOPTST.C :</t>
  </si>
  <si>
    <t>Implicit blocks ............. 100.0% (5/5)</t>
  </si>
  <si>
    <t>RFMCInitiatedOpTst_Init :</t>
  </si>
  <si>
    <t>RFMCInitiatedOpTst_Start :</t>
  </si>
  <si>
    <t>RFMCInitiatedOpTst :</t>
  </si>
  <si>
    <t>RFMCINITIATEDOPTST</t>
  </si>
  <si>
    <t>RFMCINITIATEDOPTSTTOPLEVEL.C :</t>
  </si>
  <si>
    <t>Implicit blocks ............. 100.0% (3/3)</t>
  </si>
  <si>
    <t>Decisions ................... 100.0% (8/8)</t>
  </si>
  <si>
    <t>Basic conditions ............ 100.0% (14/14)</t>
  </si>
  <si>
    <t>Modified conditions ......... 100.0% (4/4)</t>
  </si>
  <si>
    <t>RFMCInitiatedOpTstTopLevel_Start :</t>
  </si>
  <si>
    <t>RFMCInitiatedOpTstTopLevel :</t>
  </si>
  <si>
    <t>Statement blocks ............ 100.0% (4/4)</t>
  </si>
  <si>
    <t>Decisions ................... 100.0% (7/7)</t>
  </si>
  <si>
    <t>RFMCINITIATEDOPTSTTOPLEVEL</t>
  </si>
  <si>
    <t>RINGBTB.C :</t>
  </si>
  <si>
    <t>Statement blocks ............ 100.0% (82/82)</t>
  </si>
  <si>
    <t>Implicit blocks ............. 100.0% (10/10)</t>
  </si>
  <si>
    <t>Decisions ................... 100.0% (92/92)</t>
  </si>
  <si>
    <t>Basic conditions ............ 100.0% (122/122)</t>
  </si>
  <si>
    <t>Modified conditions ......... 100.0% (29/29)</t>
  </si>
  <si>
    <t>RingBTB_Init :</t>
  </si>
  <si>
    <t>RingBTB_Start :</t>
  </si>
  <si>
    <t>RingBTB :</t>
  </si>
  <si>
    <t>Statement blocks ............ 100.0% (79/79)</t>
  </si>
  <si>
    <t>Decisions ................... 100.0% (89/89)</t>
  </si>
  <si>
    <t>RingBTB_Term :</t>
  </si>
  <si>
    <t>RINGBTB</t>
  </si>
  <si>
    <t>RINGBTBFTCPROTECTION.C :</t>
  </si>
  <si>
    <t>Statement blocks ............ 100.0% (8/8)</t>
  </si>
  <si>
    <t>Basic conditions ............ 100.0% (8/8)</t>
  </si>
  <si>
    <t>RingBtbFtcProtection_Init :</t>
  </si>
  <si>
    <t>RingBtbFtcProtection_Start :</t>
  </si>
  <si>
    <t>RingBtbFtcProtection :</t>
  </si>
  <si>
    <t>RingBtbFtcProtection_Term :</t>
  </si>
  <si>
    <t>RINGBTBFTCPROTECTION</t>
  </si>
  <si>
    <t>RINGBTBFTO.C :</t>
  </si>
  <si>
    <t>Basic conditions ............ 100.0% (40/40)</t>
  </si>
  <si>
    <t>Modified conditions ......... 100.0% (18/18)</t>
  </si>
  <si>
    <t>RingBtbFTO_Init :</t>
  </si>
  <si>
    <t>RingBtbFTO_Start :</t>
  </si>
  <si>
    <t>RingBtbFTO :</t>
  </si>
  <si>
    <t>RingBtbFTO_Term :</t>
  </si>
  <si>
    <t>RINGBTBFTO</t>
  </si>
  <si>
    <t>ROLSPROTECTION.C :</t>
  </si>
  <si>
    <t>Statement blocks ............ 100.0% (32/32)</t>
  </si>
  <si>
    <t>Decisions ................... 100.0% (33/33)</t>
  </si>
  <si>
    <t>Basic conditions ............ 100.0% (39/39)</t>
  </si>
  <si>
    <t>Modified conditions ......... 100.0% (5/5)</t>
  </si>
  <si>
    <t>ROLSProtection_Init :</t>
  </si>
  <si>
    <t>ROLSProtection :</t>
  </si>
  <si>
    <t>Statement blocks ............ 100.0% (31/31)</t>
  </si>
  <si>
    <t>Decisions ................... 100.0% (32/32)</t>
  </si>
  <si>
    <t>ROLSPROTECTION</t>
  </si>
  <si>
    <t>ROTORBURSTPROTECTION.C :</t>
  </si>
  <si>
    <t>Statement blocks ............ 100.0% (2/2)</t>
  </si>
  <si>
    <t>Decisions ................... 100.0% (2/2)</t>
  </si>
  <si>
    <t>Basic conditions ............ 100.0% (76/76)</t>
  </si>
  <si>
    <t>Modified conditions ......... 100.0% (38/38)</t>
  </si>
  <si>
    <t>RotorBurstProtection_Init :</t>
  </si>
  <si>
    <t>RotorBurstProtection :</t>
  </si>
  <si>
    <t>ROTORBURSTPROTECTION</t>
  </si>
  <si>
    <t>RT_ENAB.C :</t>
  </si>
  <si>
    <t>Implicit blocks ............. 100.0% (2/2)</t>
  </si>
  <si>
    <t>Decisions ................... 100.0% (10/10)</t>
  </si>
  <si>
    <t>rt_EnableState :</t>
  </si>
  <si>
    <t>RT_ENAB</t>
  </si>
  <si>
    <t>SELECTINPUTS.C :</t>
  </si>
  <si>
    <t>Statement blocks ............ 100.0% (48/48)</t>
  </si>
  <si>
    <t>Decisions ................... 100.0% (50/50)</t>
  </si>
  <si>
    <t>Basic conditions ............ 100.0% (58/58)</t>
  </si>
  <si>
    <t>Modified conditions ......... 100.0% (12/12)</t>
  </si>
  <si>
    <t>InputProcessing_Select_L1GCU_Inputs :</t>
  </si>
  <si>
    <t>Basic conditions ............ 100.0% (4/4)</t>
  </si>
  <si>
    <t>InputProcessing_Select_L2GCU_Inputs :</t>
  </si>
  <si>
    <t>InputProcessing_Select_LAGCU_Inputs :</t>
  </si>
  <si>
    <t>InputProcessing_Select_R1GCU_Inputs :</t>
  </si>
  <si>
    <t>InputProcessing_Select_R2GCU_Inputs :</t>
  </si>
  <si>
    <t>InputProcessing_Select_RAGCU_Inputs :</t>
  </si>
  <si>
    <t>InputProcessing_Failsafe_DR_L1GCU :</t>
  </si>
  <si>
    <t>Statement blocks ............ 100.0% (3/3)</t>
  </si>
  <si>
    <t>Decisions ................... 100.0% (3/3)</t>
  </si>
  <si>
    <t>Basic conditions ............ 100.0% (2/2)</t>
  </si>
  <si>
    <t>InputProcessing_Failsafe_DR_L2GCU :</t>
  </si>
  <si>
    <t>InputProcessing_Failsafe_DR_LAGCU :</t>
  </si>
  <si>
    <t>InputProcessing_Failsafe_DR_R1GCU :</t>
  </si>
  <si>
    <t>InputProcessing_Failsafe_DR_R2GCU :</t>
  </si>
  <si>
    <t>Basic conditions ............ 100.0% (6/6)</t>
  </si>
  <si>
    <t>InputProcessing_Failsafe_DR_RAGCU :</t>
  </si>
  <si>
    <t>InputProcessing_SelectInputs_Init :</t>
  </si>
  <si>
    <t>InputProcessing_SelectInputs :</t>
  </si>
  <si>
    <t>Statement blocks ............ 100.0% (12/12)</t>
  </si>
  <si>
    <t>Decisions ................... 100.0% (13/13)</t>
  </si>
  <si>
    <t>Basic conditions ............ 100.0% (12/12)</t>
  </si>
  <si>
    <t>Select_Inputs_Init :</t>
  </si>
  <si>
    <t>Select_Inputs :</t>
  </si>
  <si>
    <t>SELECTINPUTS</t>
  </si>
  <si>
    <t>SELECTOUTPUTS.C :</t>
  </si>
  <si>
    <t>Select_Outputs_Init :</t>
  </si>
  <si>
    <t>Select_Outputs :</t>
  </si>
  <si>
    <t>SELECTOUTPUTS</t>
  </si>
  <si>
    <t>SNGLSRC_SPLITSYS_ALTERNATEPATH.C :</t>
  </si>
  <si>
    <t>Statement blocks ............  92.9% (13/14)</t>
  </si>
  <si>
    <t>Decisions ...................  93.3% (14/15)</t>
  </si>
  <si>
    <t>Basic conditions ............  98.9% (88/89)</t>
  </si>
  <si>
    <t>Modified conditions ......... 100.0% (40/40)</t>
  </si>
  <si>
    <t>Is_SameSrc_AlternatePathReset_Init :</t>
  </si>
  <si>
    <t>Is_SameSrc_AlternatePathReset_Disable :</t>
  </si>
  <si>
    <t>Is_SameSrc_AlternatePathReset_Start :</t>
  </si>
  <si>
    <t>Is_SameSrc_AlternatePathReset :</t>
  </si>
  <si>
    <t>Statement blocks ............  88.9% (8/9)</t>
  </si>
  <si>
    <t>/default, line 234</t>
  </si>
  <si>
    <t>Decisions ...................  90.0% (9/10)</t>
  </si>
  <si>
    <t>Basic conditions ............  97.0% (32/33)</t>
  </si>
  <si>
    <t>"default", line 234</t>
  </si>
  <si>
    <t>Is_SnglSrc_SplitSys_AlternatePath_Init :</t>
  </si>
  <si>
    <t>Is_SnglSrc_SplitSys_AlternatePath :</t>
  </si>
  <si>
    <t>Basic conditions ............ 100.0% (56/56)</t>
  </si>
  <si>
    <t>Modified conditions ......... 100.0% (28/28)</t>
  </si>
  <si>
    <t>SNGLSRC_SPLITSYS_ALTERNATEPATH</t>
  </si>
  <si>
    <t>SOFTCALIBRATION.C :</t>
  </si>
  <si>
    <t>SoftCalibration :</t>
  </si>
  <si>
    <t>SOFTCALIBRATION</t>
  </si>
  <si>
    <t>SOFTCALPROCESSING.C :</t>
  </si>
  <si>
    <t>Decisions ................... 100.0% (4/4)</t>
  </si>
  <si>
    <t>mr_SoftcalProcessing :</t>
  </si>
  <si>
    <t>mr_SoftcalProcessing_initialize :</t>
  </si>
  <si>
    <t>SOFTCALPROCESSING</t>
  </si>
  <si>
    <t>SPLIT235AND115SYS.C :</t>
  </si>
  <si>
    <t>Basic conditions ............ 100.0% (10/10)</t>
  </si>
  <si>
    <t>Is_Split235and115Sys :</t>
  </si>
  <si>
    <t>SPLIT235AND115SYS</t>
  </si>
  <si>
    <t>SRCID.C :</t>
  </si>
  <si>
    <t>Statement blocks ............ 100.0% (14/14)</t>
  </si>
  <si>
    <t>Decisions ................... 100.0% (14/14)</t>
  </si>
  <si>
    <t>Get_SrcID_Init :</t>
  </si>
  <si>
    <t>Get_SrcID :</t>
  </si>
  <si>
    <t>Statement blocks ............ 100.0% (13/13)</t>
  </si>
  <si>
    <t>SRCID</t>
  </si>
  <si>
    <t>SRCPRIORITYTBL.C :</t>
  </si>
  <si>
    <t>Statement blocks ............ 100.0% (19/19)</t>
  </si>
  <si>
    <t>Decisions ................... 100.0% (20/20)</t>
  </si>
  <si>
    <t>Basic conditions ............ 100.0% (24/24)</t>
  </si>
  <si>
    <t>Select_SrcPriorityTbl :</t>
  </si>
  <si>
    <t>SRCPRIORITYTBL</t>
  </si>
  <si>
    <t>SSIDESNGLSRC115TO235XXER.C :</t>
  </si>
  <si>
    <t>Basic conditions ............ 100.0% (20/20)</t>
  </si>
  <si>
    <t>Modified conditions ......... 100.0% (10/10)</t>
  </si>
  <si>
    <t>Is_SSideSnglSrc115to235Xfer :</t>
  </si>
  <si>
    <t>SSIDESNGLSRC115TO235XXER</t>
  </si>
  <si>
    <t>SSIDESNGLSRC235TO115XFER.C :</t>
  </si>
  <si>
    <t>Is_SSideSnglSrc235to115Xfer :</t>
  </si>
  <si>
    <t>SSIDESNGLSRC235TO115XFER</t>
  </si>
  <si>
    <t>SSX_POSTINIT.C :</t>
  </si>
  <si>
    <t>Implicit blocks ............. 100.0% (9/9)</t>
  </si>
  <si>
    <t>SSX_PostInit :</t>
  </si>
  <si>
    <t>/else, line 1207</t>
  </si>
  <si>
    <t>"PtSnapshotStructLength &lt;= 0x0100" False, line 1196</t>
  </si>
  <si>
    <t>SSX_POSTINIT</t>
  </si>
  <si>
    <t>SSX_PREINIT.C :</t>
  </si>
  <si>
    <t>ssx_preinit :</t>
  </si>
  <si>
    <t>Determine_PseudoFailsafe :</t>
  </si>
  <si>
    <t>SSX_PREINIT</t>
  </si>
  <si>
    <t>STAGGER_XFERS.C :</t>
  </si>
  <si>
    <t>Statement blocks ............ 100.0% (51/51)</t>
  </si>
  <si>
    <t>Decisions ................... 100.0% (54/54)</t>
  </si>
  <si>
    <t>Basic conditions ............ 100.0% (93/93)</t>
  </si>
  <si>
    <t>Modified conditions ......... 100.0% (33/33)</t>
  </si>
  <si>
    <t>gcu_power_transfer_Determine_Xfer_Bus :</t>
  </si>
  <si>
    <t>gcu_power_transfer_Determine_Xfer_Complete :</t>
  </si>
  <si>
    <t>gcu_power_transfer_Timer :</t>
  </si>
  <si>
    <t>gcu_power_transfer_Init_Timer :</t>
  </si>
  <si>
    <t>gcu_power_transfer_Start_Clean :</t>
  </si>
  <si>
    <t>gcu_power_transfer_StaggerXfers_Init :</t>
  </si>
  <si>
    <t>gcu_power_transfer_StaggerXfers :</t>
  </si>
  <si>
    <t>Basic conditions ............ 100.0% (31/31)</t>
  </si>
  <si>
    <t>Modified conditions ......... 100.0% (9/9)</t>
  </si>
  <si>
    <t>StaggerXfers_Init :</t>
  </si>
  <si>
    <t>StaggerXfers :</t>
  </si>
  <si>
    <t>STAGGER_XFERS</t>
  </si>
  <si>
    <t>STARTCONTCONTROL.C :</t>
  </si>
  <si>
    <t>Modified conditions ......... 100.0% (3/3)</t>
  </si>
  <si>
    <t>StartContControl :</t>
  </si>
  <si>
    <t>STARTCONTCONTROL</t>
  </si>
  <si>
    <t>TBDPPROTECTION.C :</t>
  </si>
  <si>
    <t>TbDpProtection_Init :</t>
  </si>
  <si>
    <t>TbDpProtection :</t>
  </si>
  <si>
    <t>TBDPPROTECTION</t>
  </si>
  <si>
    <t>TIEBTB.C :</t>
  </si>
  <si>
    <t>Statement blocks ............  98.9% (93/94)</t>
  </si>
  <si>
    <t>Implicit blocks ............. 100.0% (11/11)</t>
  </si>
  <si>
    <t>Decisions ...................  99.0% (104/105)</t>
  </si>
  <si>
    <t>Basic conditions ............  99.3% (150/151)</t>
  </si>
  <si>
    <t>TieBTB_Disable :</t>
  </si>
  <si>
    <t>TieBTB_Start :</t>
  </si>
  <si>
    <t>TieBTB :</t>
  </si>
  <si>
    <t>Statement blocks ............  98.9% (90/91)</t>
  </si>
  <si>
    <t>/default, line 953</t>
  </si>
  <si>
    <t>Decisions ...................  99.0% (101/102)</t>
  </si>
  <si>
    <t>"default", line 953</t>
  </si>
  <si>
    <t>TieBTB_Term :</t>
  </si>
  <si>
    <t>TIEBTB</t>
  </si>
  <si>
    <t>TIEBTBFTCPROTECTION.C :</t>
  </si>
  <si>
    <t>TieBtbFtcProtection_Init :</t>
  </si>
  <si>
    <t>TieBtbFtcProtection_Start :</t>
  </si>
  <si>
    <t>TieBtbFtcProtection :</t>
  </si>
  <si>
    <t>TieBtbFtcProtection_Term :</t>
  </si>
  <si>
    <t>TIEBTBFTCPROTECTION</t>
  </si>
  <si>
    <t>TIEBTBFTO1.C :</t>
  </si>
  <si>
    <t>TieBtbFTO1_Init :</t>
  </si>
  <si>
    <t>TieBtbFTO1_Start :</t>
  </si>
  <si>
    <t>TieBtbFTO1 :</t>
  </si>
  <si>
    <t>TieBtbFTO1_Term :</t>
  </si>
  <si>
    <t>TIEBTBFTO1</t>
  </si>
  <si>
    <t>TIEBTBFTO2.C :</t>
  </si>
  <si>
    <t>TieBtbFTO2_Init :</t>
  </si>
  <si>
    <t>TieBtbFTO2 :</t>
  </si>
  <si>
    <t>TIEBTBFTO2</t>
  </si>
  <si>
    <t>UPFPROTECTION.C :</t>
  </si>
  <si>
    <t>UPFProtection_Init :</t>
  </si>
  <si>
    <t>UPFProtection :</t>
  </si>
  <si>
    <t>Statement blocks ............ 100.0% (7/7)</t>
  </si>
  <si>
    <t>UPFPROTECTION</t>
  </si>
  <si>
    <t>UNDERPROTECTIONWITHINHIBITANDCONDITION.C :</t>
  </si>
  <si>
    <t>Statement blocks ............ 100.0% (9/9)</t>
  </si>
  <si>
    <t>Decisions ................... 100.0% (9/9)</t>
  </si>
  <si>
    <t>UnderProtectionWithInhibitAndCondition :</t>
  </si>
  <si>
    <t>UNDERPROTECTIONWITHINHIBITANDC</t>
  </si>
  <si>
    <t>V235ATRUHVDCUVPROT.C :</t>
  </si>
  <si>
    <t>V235AtruHvdcUvProt_Init :</t>
  </si>
  <si>
    <t>V235AtruHvdcUvProt :</t>
  </si>
  <si>
    <t>V235ATRUHVDCUVPROT</t>
  </si>
  <si>
    <t>V235ATRUOTPROT.C :</t>
  </si>
  <si>
    <t>Basic conditions ............ 100.0% (32/32)</t>
  </si>
  <si>
    <t>Modified conditions ......... 100.0% (16/16)</t>
  </si>
  <si>
    <t>V235AtruOtProt_Init :</t>
  </si>
  <si>
    <t>V235AtruOtProt_Start :</t>
  </si>
  <si>
    <t>V235AtruOtProt :</t>
  </si>
  <si>
    <t>V235AtruOtProt_Term :</t>
  </si>
  <si>
    <t>V235ATRUOTPROT</t>
  </si>
  <si>
    <t>V235ATRUSATURATION.C :</t>
  </si>
  <si>
    <t>V235AtruSaturation_Init :</t>
  </si>
  <si>
    <t>V235AtruSaturation :</t>
  </si>
  <si>
    <t>V235ATRUSATURATION</t>
  </si>
  <si>
    <t>V235BUS_PATH.C :</t>
  </si>
  <si>
    <t>Statement blocks ............ 100.0% (119/119)</t>
  </si>
  <si>
    <t>Implicit blocks ............. 100.0% (7/7)</t>
  </si>
  <si>
    <t>Decisions ................... 100.0% (126/126)</t>
  </si>
  <si>
    <t>Basic conditions ............  98.9% (179/181)</t>
  </si>
  <si>
    <t>Modified conditions .........  96.0% (48/50)</t>
  </si>
  <si>
    <t>gcu_power_transfer_Is_SettleTimerExpired :</t>
  </si>
  <si>
    <t>gcu_power_transfer_V235to235or115to115SrcCmdPair :</t>
  </si>
  <si>
    <t>gcu_power_transfer_Determine_ReconfigOpenCmd :</t>
  </si>
  <si>
    <t>gcu_power_transfer_Is_235to115MultiTrigger :</t>
  </si>
  <si>
    <t>Basic conditions ............ 100.0% (26/26)</t>
  </si>
  <si>
    <t>gcu_power_transfer_Is_CurrentSrcChange :</t>
  </si>
  <si>
    <t>Basic conditions ............ 100.0% (16/16)</t>
  </si>
  <si>
    <t>gcu_power_transfer_AbnormalXfer :</t>
  </si>
  <si>
    <t>gcu_power_transfer_Determine_Src2SrcXferCmdPair :</t>
  </si>
  <si>
    <t>Statement blocks ............ 100.0% (27/27)</t>
  </si>
  <si>
    <t>Decisions ................... 100.0% (27/27)</t>
  </si>
  <si>
    <t>Basic conditions ............  97.8% (45/46)</t>
  </si>
  <si>
    <t>"MultiTrigger235to115Xfer" False, line 449</t>
  </si>
  <si>
    <t>Modified conditions .........  93.3% (14/15)</t>
  </si>
  <si>
    <t>"MultiTrigger235to115Xfer" #2 (TT=T/TF=F), line 449</t>
  </si>
  <si>
    <t>gcu_power_transfer_V235Bus_Path_Init :</t>
  </si>
  <si>
    <t>gcu_power_transfer_V235Bus_Path :</t>
  </si>
  <si>
    <t>Statement blocks ............ 100.0% (42/42)</t>
  </si>
  <si>
    <t>Implicit blocks ............. 100.0% (6/6)</t>
  </si>
  <si>
    <t>Decisions ................... 100.0% (48/48)</t>
  </si>
  <si>
    <t>Basic conditions ............  98.6% (68/69)</t>
  </si>
  <si>
    <t>"TTPOUT_OWN235BUS_CURR_SRC == 0U" False, line 808</t>
  </si>
  <si>
    <t>Modified conditions .........  94.1% (16/17)</t>
  </si>
  <si>
    <t>"TTPOUT_OWN235BUS_CURR_SRC == 0U" #2 (TT=T/TF=F), line 808</t>
  </si>
  <si>
    <t>V235Bus_Path_Init :</t>
  </si>
  <si>
    <t>V235Bus_Path :</t>
  </si>
  <si>
    <t>V235BUS_PATH</t>
  </si>
  <si>
    <t>V235BUSXFER_ENGINE.C :</t>
  </si>
  <si>
    <t>V235BusXferEngine_Init :</t>
  </si>
  <si>
    <t>V235BusXferEngine_Disable :</t>
  </si>
  <si>
    <t>V235BusXferEngine_Start :</t>
  </si>
  <si>
    <t>V235BusXferEngine :</t>
  </si>
  <si>
    <t>V235BUSXFER_ENGINE</t>
  </si>
  <si>
    <t>V270BUSSTATE.C :</t>
  </si>
  <si>
    <t>Statement blocks ............ 100.0% (36/36)</t>
  </si>
  <si>
    <t>Decisions ................... 100.0% (42/42)</t>
  </si>
  <si>
    <t>Basic conditions ............ 100.0% (74/74)</t>
  </si>
  <si>
    <t>V270BusState_Init :</t>
  </si>
  <si>
    <t>V270BusState :</t>
  </si>
  <si>
    <t>Statement blocks ............ 100.0% (35/35)</t>
  </si>
  <si>
    <t>Decisions ................... 100.0% (41/41)</t>
  </si>
  <si>
    <t>V270BUSSTATE</t>
  </si>
  <si>
    <t>V270BUSXFER_ENGINE.C :</t>
  </si>
  <si>
    <t>V270BusXferEngine_Init :</t>
  </si>
  <si>
    <t>V270BusXferEngine_Disable :</t>
  </si>
  <si>
    <t>V270BusXferEngine_Start :</t>
  </si>
  <si>
    <t>V270BusXferEngine :</t>
  </si>
  <si>
    <t>V270BUSXFER_ENGINE</t>
  </si>
  <si>
    <t>VFSGASGPROTECTIONS.C :</t>
  </si>
  <si>
    <t>Statement blocks ............  96.8% (60/62)</t>
  </si>
  <si>
    <t>Implicit blocks .............  96.3% (26/27)</t>
  </si>
  <si>
    <t>Decisions ...................  96.6% (86/89)</t>
  </si>
  <si>
    <t>Basic conditions ............  99.5% (581/584)</t>
  </si>
  <si>
    <t>Modified conditions ......... 100.0% (253/253)</t>
  </si>
  <si>
    <t>VfsgAsgProtections_DpProtection_Init :</t>
  </si>
  <si>
    <t>VfsgAsgProtections_DpProtection_Disable :</t>
  </si>
  <si>
    <t>VfsgAsgProtections_DpProtection_Start :</t>
  </si>
  <si>
    <t>VfsgAsgProtections_DpProtection :</t>
  </si>
  <si>
    <t>mr_VfsgAsgProtections_Init :</t>
  </si>
  <si>
    <t>mr_VfsgAsgProtections_Disable :</t>
  </si>
  <si>
    <t>mr_VfsgAsgProtections_Start :</t>
  </si>
  <si>
    <t>mr_VfsgAsgProtections :</t>
  </si>
  <si>
    <t>Statement blocks ............  95.7% (45/47)</t>
  </si>
  <si>
    <t>/default, line 1205</t>
  </si>
  <si>
    <t>/default, line 1269</t>
  </si>
  <si>
    <t>Implicit blocks .............  95.5% (21/22)</t>
  </si>
  <si>
    <t>/else/then/else, line 1445</t>
  </si>
  <si>
    <t>Decisions ...................  95.7% (66/69)</t>
  </si>
  <si>
    <t>Basic conditions ............  99.5% (571/574)</t>
  </si>
  <si>
    <t>"default", line 1205</t>
  </si>
  <si>
    <t>"default", line 1269</t>
  </si>
  <si>
    <t>"localDW-&gt;VFSGProtections_MOD ..." False, line 1438</t>
  </si>
  <si>
    <t>mr_VfsgAsgProtections_Update :</t>
  </si>
  <si>
    <t>mr_VfsgAsgProtections_Term :</t>
  </si>
  <si>
    <t>mr_VfsgAsgProtections_initialize :</t>
  </si>
  <si>
    <t>VFSGASGPROTECTIONS</t>
  </si>
  <si>
    <t>VFSGDISCMAINTENANCE.C :</t>
  </si>
  <si>
    <t>Statement blocks ............ 100.0% (17/17)</t>
  </si>
  <si>
    <t>Basic conditions ............ 100.0% (42/42)</t>
  </si>
  <si>
    <t>VfsgDiscMaintenance_Init :</t>
  </si>
  <si>
    <t>VfsgDiscMaintenance :</t>
  </si>
  <si>
    <t>Statement blocks ............ 100.0% (16/16)</t>
  </si>
  <si>
    <t>Decisions ................... 100.0% (19/19)</t>
  </si>
  <si>
    <t>VFSGDISCMAINTENANCE</t>
  </si>
  <si>
    <t>VFSGDISCONNECT.C :</t>
  </si>
  <si>
    <t>VfsgDisconnect_Init :</t>
  </si>
  <si>
    <t>VfsgDisconnect :</t>
  </si>
  <si>
    <t>VFSGDISCONNECT</t>
  </si>
  <si>
    <t>VFSGOC2ISOLATION.C :</t>
  </si>
  <si>
    <t>Statement blocks ............ 100.0% (29/29)</t>
  </si>
  <si>
    <t>Decisions ................... 100.0% (30/30)</t>
  </si>
  <si>
    <t>Basic conditions ............ 100.0% (170/170)</t>
  </si>
  <si>
    <t>Modified conditions ......... 100.0% (73/73)</t>
  </si>
  <si>
    <t>VfsgOC2Isolation_Init :</t>
  </si>
  <si>
    <t>VfsgOC2Isolation :</t>
  </si>
  <si>
    <t>Statement blocks ............ 100.0% (28/28)</t>
  </si>
  <si>
    <t>Decisions ................... 100.0% (29/29)</t>
  </si>
  <si>
    <t>VFSGOC2ISOLATION</t>
  </si>
  <si>
    <t>VFSGOC2PROTECTION.C :</t>
  </si>
  <si>
    <t>Modified conditions ......... 100.0% (6/6)</t>
  </si>
  <si>
    <t>VfsgOc2Protection_Init :</t>
  </si>
  <si>
    <t>VfsgOc2Protection :</t>
  </si>
  <si>
    <t>VFSGOC2PROTECTION</t>
  </si>
  <si>
    <t>VFSGOCISOLATION.C :</t>
  </si>
  <si>
    <t>Statement blocks ............  99.2% (118/119)</t>
  </si>
  <si>
    <t>Implicit blocks ............. 100.0% (4/4)</t>
  </si>
  <si>
    <t>Decisions ...................  99.2% (122/123)</t>
  </si>
  <si>
    <t>Basic conditions ............  99.4% (164/165)</t>
  </si>
  <si>
    <t>Modified conditions ......... 100.0% (24/24)</t>
  </si>
  <si>
    <t>VfsgOcIsolation_Disable :</t>
  </si>
  <si>
    <t>VfsgOcIsolation_Start :</t>
  </si>
  <si>
    <t>VfsgOcIsolation :</t>
  </si>
  <si>
    <t>Statement blocks ............  99.1% (115/116)</t>
  </si>
  <si>
    <t>/default, line 634</t>
  </si>
  <si>
    <t>Decisions ...................  99.2% (119/120)</t>
  </si>
  <si>
    <t>"default", line 634</t>
  </si>
  <si>
    <t>VfsgOcIsolation_Term :</t>
  </si>
  <si>
    <t>VFSGOCISOLATION</t>
  </si>
  <si>
    <t>VFSGOCPROTECTION.C :</t>
  </si>
  <si>
    <t>Statement blocks ............ 100.0% (22/22)</t>
  </si>
  <si>
    <t>Decisions ................... 100.0% (24/24)</t>
  </si>
  <si>
    <t>VfsgOcProtection_Init :</t>
  </si>
  <si>
    <t>VfsgOcProtection :</t>
  </si>
  <si>
    <t>Statement blocks ............ 100.0% (21/21)</t>
  </si>
  <si>
    <t>Decisions ................... 100.0% (23/23)</t>
  </si>
  <si>
    <t>VFSGOCPROTECTION</t>
  </si>
  <si>
    <t>VFSGOCPROTECTIONUS.C :</t>
  </si>
  <si>
    <t>VfsgOcProtectionUS :</t>
  </si>
  <si>
    <t>VFSGOCPROTECTIONUS</t>
  </si>
  <si>
    <t>VFSGOFPROTECTION.C :</t>
  </si>
  <si>
    <t>VfsgOfProtection_Init :</t>
  </si>
  <si>
    <t>VfsgOfProtection :</t>
  </si>
  <si>
    <t>VFSGOFPROTECTION</t>
  </si>
  <si>
    <t>VFSGOILPRESSUREMONITOR.C :</t>
  </si>
  <si>
    <t>VfsgOilPressureMonitor_Init :</t>
  </si>
  <si>
    <t>VfsgOilPressureMonitor :</t>
  </si>
  <si>
    <t>VFSGOILPRESSUREMONITOR</t>
  </si>
  <si>
    <t>VFSGSRDFAILSAFEPROTECTION.C :</t>
  </si>
  <si>
    <t>Modified conditions ......... 100.0% (37/37)</t>
  </si>
  <si>
    <t>VfsgSrdFailsafeProtection_Init :</t>
  </si>
  <si>
    <t>VfsgSrdFailsafeProtection_Start :</t>
  </si>
  <si>
    <t>VfsgSrdFailsafeProtection :</t>
  </si>
  <si>
    <t>VfsgSrdFailsafeProtection_Term :</t>
  </si>
  <si>
    <t>VFSGSRDFAILSAFEPROTECTION</t>
  </si>
  <si>
    <t>VFSGUF1PROTECTION.C :</t>
  </si>
  <si>
    <t>VfsgUf1Protection_Init :</t>
  </si>
  <si>
    <t>VfsgUf1Protection :</t>
  </si>
  <si>
    <t>VFSGUF1PROTECTION</t>
  </si>
  <si>
    <t>VFSGUNDERSPEED.C :</t>
  </si>
  <si>
    <t>VfsgUnderspeed_Init :</t>
  </si>
  <si>
    <t>VfsgUnderspeed :</t>
  </si>
  <si>
    <t>VFSGUNDERSPEED</t>
  </si>
  <si>
    <t>VFSGUV2PROTECTION.C :</t>
  </si>
  <si>
    <t>Statement blocks ............ 100.0% (78/78)</t>
  </si>
  <si>
    <t>Decisions ................... 100.0% (79/79)</t>
  </si>
  <si>
    <t>Basic conditions ............ 100.0% (109/109)</t>
  </si>
  <si>
    <t>Modified conditions ......... 100.0% (19/19)</t>
  </si>
  <si>
    <t>VfsgUv2Protection_Init :</t>
  </si>
  <si>
    <t>VfsgUv2Protection_Start :</t>
  </si>
  <si>
    <t>VfsgUv2Protection :</t>
  </si>
  <si>
    <t>Statement blocks ............ 100.0% (75/75)</t>
  </si>
  <si>
    <t>Decisions ................... 100.0% (76/76)</t>
  </si>
  <si>
    <t>VfsgUv2Protection_Term :</t>
  </si>
  <si>
    <t>VFSGUV2PROTECTION</t>
  </si>
  <si>
    <t>VRCONTROL.C :</t>
  </si>
  <si>
    <t>Statement blocks ............  88.5% (46/52)</t>
  </si>
  <si>
    <t>Decisions ...................  89.7% (52/58)</t>
  </si>
  <si>
    <t>Basic conditions ............  95.5% (126/132)</t>
  </si>
  <si>
    <t>Modified conditions ......... 100.0% (39/39)</t>
  </si>
  <si>
    <t>VrControl_Init :</t>
  </si>
  <si>
    <t>VrControl_Disable :</t>
  </si>
  <si>
    <t>VrControl_Start :</t>
  </si>
  <si>
    <t>VrControl :</t>
  </si>
  <si>
    <t>Statement blocks ............  87.8% (43/49)</t>
  </si>
  <si>
    <t>/default, line 422</t>
  </si>
  <si>
    <t>/default, line 494</t>
  </si>
  <si>
    <t>/default, line 579</t>
  </si>
  <si>
    <t>/default, line 668</t>
  </si>
  <si>
    <t>/default, line 739</t>
  </si>
  <si>
    <t>/default, line 810</t>
  </si>
  <si>
    <t>Decisions ...................  89.1% (49/55)</t>
  </si>
  <si>
    <t>"default", line 422</t>
  </si>
  <si>
    <t>"default", line 494</t>
  </si>
  <si>
    <t>"default", line 579</t>
  </si>
  <si>
    <t>"default", line 668</t>
  </si>
  <si>
    <t>"default", line 739</t>
  </si>
  <si>
    <t>"default", line 810</t>
  </si>
  <si>
    <t>VRCONTROL</t>
  </si>
  <si>
    <t>XFERMODES.C :</t>
  </si>
  <si>
    <t>Statement blocks ............  95.0% (38/40)</t>
  </si>
  <si>
    <t>Decisions ...................  95.2% (40/42)</t>
  </si>
  <si>
    <t>Basic conditions ............  98.8% (164/166)</t>
  </si>
  <si>
    <t>Determine_XferModes_Init :</t>
  </si>
  <si>
    <t>Determine_XferModes_Disable :</t>
  </si>
  <si>
    <t>Determine_XferModes_Start :</t>
  </si>
  <si>
    <t>Determine_XferModes :</t>
  </si>
  <si>
    <t>Statement blocks ............  94.6% (35/37)</t>
  </si>
  <si>
    <t>/default, line 390</t>
  </si>
  <si>
    <t>/default, line 529</t>
  </si>
  <si>
    <t>Decisions ...................  94.9% (37/39)</t>
  </si>
  <si>
    <t>"default", line 390</t>
  </si>
  <si>
    <t>"default", line 529</t>
  </si>
  <si>
    <t>XFERMODES</t>
  </si>
  <si>
    <t>XFERSTATE.C :</t>
  </si>
  <si>
    <t>Determine_XferState :</t>
  </si>
  <si>
    <t>XFERSTATE</t>
  </si>
  <si>
    <t>XFERSTATUS.C :</t>
  </si>
  <si>
    <t>Statement blocks ............  95.9% (187/195)</t>
  </si>
  <si>
    <t>Decisions ...................  96.1% (196/204)</t>
  </si>
  <si>
    <t>Basic conditions ............  98.4% (482/490)</t>
  </si>
  <si>
    <t>Modified conditions ......... 100.0% (194/194)</t>
  </si>
  <si>
    <t>gcu_power_transfer_XferHoldOff :</t>
  </si>
  <si>
    <t>Statement blocks ............ 100.0% (18/18)</t>
  </si>
  <si>
    <t>Basic conditions ............ 100.0% (28/28)</t>
  </si>
  <si>
    <t>Modified conditions ......... 100.0% (7/7)</t>
  </si>
  <si>
    <t>gcu_power_transfer_Gen_Offline_Priority_Rule :</t>
  </si>
  <si>
    <t>Statement blocks ............ 100.0% (11/11)</t>
  </si>
  <si>
    <t>Decisions ................... 100.0% (11/11)</t>
  </si>
  <si>
    <t>gcu_power_transfer_PwrDownXferStatus :</t>
  </si>
  <si>
    <t>gcu_power_transfer_Contactor_Sequence_BTB :</t>
  </si>
  <si>
    <t>gcu_power_transfer_Gen_Gen_Online_Priority_Rule :</t>
  </si>
  <si>
    <t>Modified conditions ......... 100.0% (20/20)</t>
  </si>
  <si>
    <t>gcu_power_transfer_EP_Only_MES_BTB_Sequence :</t>
  </si>
  <si>
    <t>gcu_power_transfer_Contactor_Sequence_Gen_2_EP_GO :</t>
  </si>
  <si>
    <t>Modified conditions ......... 100.0% (13/13)</t>
  </si>
  <si>
    <t>gcu_power_transfer_Gen_2_EP_GO_Priority_Rule :</t>
  </si>
  <si>
    <t>gcu_power_transfer_MES_EP_Gen_Online_Priority_Rule :</t>
  </si>
  <si>
    <t>Basic conditions ............ 100.0% (18/18)</t>
  </si>
  <si>
    <t>gcu_power_transfer_VFSG_ASG_Sequence :</t>
  </si>
  <si>
    <t>gcu_power_transfer_Contactor_Sequence_GCB_APB :</t>
  </si>
  <si>
    <t>gcu_power_transfer_Determine_XferStatus_Init :</t>
  </si>
  <si>
    <t>gcu_power_transfer_Determine_XferStatus :</t>
  </si>
  <si>
    <t>Basic conditions ............ 100.0% (100/100)</t>
  </si>
  <si>
    <t>Modified conditions ......... 100.0% (48/48)</t>
  </si>
  <si>
    <t>GearboxDynamicTD_Disable :</t>
  </si>
  <si>
    <t>GearboxDynamicTD_Start :</t>
  </si>
  <si>
    <t>GearboxDynamicTD :</t>
  </si>
  <si>
    <t>Statement blocks ............  87.7% (57/65)</t>
  </si>
  <si>
    <t>/default, line 1151</t>
  </si>
  <si>
    <t>/default, line 1226</t>
  </si>
  <si>
    <t>/default, line 1304</t>
  </si>
  <si>
    <t>/default, line 1379</t>
  </si>
  <si>
    <t>/default, line 1457</t>
  </si>
  <si>
    <t>/default, line 1532</t>
  </si>
  <si>
    <t>/default, line 1610</t>
  </si>
  <si>
    <t>/default, line 1685</t>
  </si>
  <si>
    <t>Implicit blocks ............. 100.0% (8/8)</t>
  </si>
  <si>
    <t>Decisions ...................  89.0% (65/73)</t>
  </si>
  <si>
    <t>Basic conditions ............  93.8% (120/128)</t>
  </si>
  <si>
    <t>"default", line 1151</t>
  </si>
  <si>
    <t>"default", line 1226</t>
  </si>
  <si>
    <t>"default", line 1304</t>
  </si>
  <si>
    <t>"default", line 1379</t>
  </si>
  <si>
    <t>"default", line 1457</t>
  </si>
  <si>
    <t>"default", line 1532</t>
  </si>
  <si>
    <t>"default", line 1610</t>
  </si>
  <si>
    <t>"default", line 1685</t>
  </si>
  <si>
    <t>Determine_XferStatus_Init :</t>
  </si>
  <si>
    <t>Determine_XferStatus_Disable :</t>
  </si>
  <si>
    <t>Determine_XferStatus_Start :</t>
  </si>
  <si>
    <t>Determine_XferStatus :</t>
  </si>
  <si>
    <t>XFERSTATUS</t>
  </si>
  <si>
    <t>CR4689</t>
  </si>
  <si>
    <t>CR4694</t>
  </si>
  <si>
    <t>CR4691</t>
  </si>
  <si>
    <t>Statement blocks ............ 100.0% (53/53)</t>
  </si>
  <si>
    <t>Decisions ................... 100.0% (58/58)</t>
  </si>
  <si>
    <t>Basic conditions ............ 100.0% (99/99)</t>
  </si>
  <si>
    <t>Decisions ................... 100.0% (56/56)</t>
  </si>
  <si>
    <t>Statement blocks ............  96.4% (27/28)</t>
  </si>
  <si>
    <t>Decisions ...................  97.3% (36/37)</t>
  </si>
  <si>
    <t>Basic conditions ............  97.7% (42/43)</t>
  </si>
  <si>
    <t>Decisions ................... 100.0% (15/15)</t>
  </si>
  <si>
    <t>Basic conditions ............ 100.0% (15/15)</t>
  </si>
  <si>
    <t>Basic conditions ............ 100.0% (23/23)</t>
  </si>
  <si>
    <t>This line appears in the C code but is optimized out by the compiler and is not an actual node.
The following is from the ssx_postinit.lst:
 1472                .loc 2 1198 0
 1473 0aac 3D200000   lis 9,_atc_call1+34@ha
 1474 0ab0 98090022   stb 0,_atc_call1+34@l(9)
 1475 0ab4 3C600000   lis 3,NvmPtSnapshotDataRead_st@ha
 1476 0ab8 38630000   la 3,NvmPtSnapshotDataRead_st@l(3)
 1477 0abc 3C800001   lis 4,0x1
 1478 0ac0 6084FC00   ori 4,4,64512
 1479 0ac4 38A00100   li 5,256
 1480 0ac8 48000001   bl NVMDriver_ReadBytes
 1481 0acc 90600000   stw 3,NVM_PT_Snapshot_Read_Status@sda21(0)
1199:..\CEII_Uninstd\src\CEI_Interface/ssx_postinit.c ****                                                           (SS_U32)NVM_SNAPSHOT_ADDR,
1200:..\CEII_Uninstd\src\CEI_Interface/ssx_postinit.c ****                                                           (SS_U32)(sizeof(GCU_PT_SNAPSHOT_ST)));
1201:..\CEII_Uninstd\src\CEI_Interface/ssx_postinit.c ****       /* Design note:
1202:..\CEII_Uninstd\src\CEI_Interface/ssx_postinit.c ****       sizeof(GCU_NVM_PT_SNAPSHOT_ST_UNION) could be used in the function call above.
1203:..\CEII_Uninstd\src\CEI_Interface/ssx_postinit.c ****       However, it is safer and more compiler portable to use the actual member
1204:..\CEII_Uninstd\src\CEI_Interface/ssx_postinit.c ****       struct length. This avoids any padding issues due to alignment rules within the union. */
1205:..\CEII_Uninstd\src\CEI_Interface/ssx_postinit.c ****     }
1206:..\CEII_Uninstd\src\CEI_Interface/ssx_postinit.c ****     else /* truncate the struct and only update what fits in the RAM struct */
1207:..\CEII_Uninstd\src\CEI_Interface/ssx_postinit.c ****     {
1208:..\CEII_Uninstd\src\CEI_Interface/ssx_postinit.c ****         NVM_PT_Snapshot_Read_Status =  NVMDriver_ReadBytes ((SS_U8 *)&amp;NvmPtSnapshotDataRead_st,
1209:..\CEII_Uninstd\src\CEI_Interface/ssx_postinit.c ****                                                           (SS_U32)NVM_SNAPSHOT_ADDR,
1210:..\CEII_Uninstd\src\CEI_Interface/ssx_postinit.c ****                                                           (SS_U32)NVM_SNAPSHOT_LEN);
1211:..\CEII_Uninstd\src\CEI_Interface/ssx_postinit.c ****     }
1212:..\CEII_Uninstd\src\CEI_Interface/ssx_postinit.c ****     /* Simple delay - while(GCU_NMV_Read_Timeout &lt; GCU_NVM_Read_Timeout_MaxCount) {} */
1213:..\CEII_Uninstd\src\CEI_Interface/ssx_postinit.c ****     GCU_NMV_Read_Timeout = 0;
 1482                .loc 2 1213 0
 1483 0ad0 39200000   li 9,0
 1484 0ad4 91200000   stw 9,GCU_NMV_Read_Timeout@sda21(0)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</si>
</sst>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8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Courier New"/>
      <family val="3"/>
    </font>
    <font>
      <b/>
      <sz val="8"/>
      <color indexed="9"/>
      <name val="Courier New"/>
      <family val="3"/>
    </font>
    <font>
      <sz val="8"/>
      <name val="Courier New"/>
      <family val="3"/>
    </font>
    <font>
      <b/>
      <sz val="8"/>
      <name val="Courier New"/>
      <family val="3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dashed">
        <color indexed="9"/>
      </left>
      <right/>
      <top style="dashed">
        <color indexed="9"/>
      </top>
      <bottom/>
      <diagonal/>
    </border>
    <border>
      <left style="dashed">
        <color indexed="9"/>
      </left>
      <right/>
      <top/>
      <bottom style="dashed">
        <color indexed="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</cellStyleXfs>
  <cellXfs count="60">
    <xf numFmtId="0" fontId="0" fillId="0" borderId="0" xfId="0"/>
    <xf numFmtId="0" fontId="3" fillId="2" borderId="1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3" fillId="2" borderId="3" xfId="0" applyFont="1" applyFill="1" applyBorder="1" applyAlignment="1">
      <alignment wrapText="1"/>
    </xf>
    <xf numFmtId="0" fontId="4" fillId="2" borderId="4" xfId="0" applyFont="1" applyFill="1" applyBorder="1" applyAlignment="1">
      <alignment wrapText="1"/>
    </xf>
    <xf numFmtId="0" fontId="5" fillId="0" borderId="0" xfId="0" applyFont="1" applyFill="1" applyBorder="1"/>
    <xf numFmtId="0" fontId="4" fillId="2" borderId="5" xfId="0" applyFont="1" applyFill="1" applyBorder="1" applyAlignment="1">
      <alignment wrapText="1"/>
    </xf>
    <xf numFmtId="0" fontId="5" fillId="3" borderId="0" xfId="0" applyFont="1" applyFill="1" applyBorder="1"/>
    <xf numFmtId="0" fontId="4" fillId="2" borderId="0" xfId="0" applyFont="1" applyFill="1" applyBorder="1" applyAlignment="1">
      <alignment wrapText="1"/>
    </xf>
    <xf numFmtId="0" fontId="2" fillId="0" borderId="0" xfId="1" applyAlignment="1" applyProtection="1"/>
    <xf numFmtId="0" fontId="5" fillId="3" borderId="6" xfId="0" applyFont="1" applyFill="1" applyBorder="1"/>
    <xf numFmtId="0" fontId="0" fillId="0" borderId="0" xfId="0" applyFill="1" applyBorder="1"/>
    <xf numFmtId="0" fontId="5" fillId="3" borderId="7" xfId="0" applyFont="1" applyFill="1" applyBorder="1"/>
    <xf numFmtId="0" fontId="5" fillId="0" borderId="8" xfId="0" applyFont="1" applyFill="1" applyBorder="1"/>
    <xf numFmtId="0" fontId="6" fillId="0" borderId="8" xfId="0" applyFont="1" applyFill="1" applyBorder="1" applyAlignment="1">
      <alignment horizontal="right" wrapText="1"/>
    </xf>
    <xf numFmtId="0" fontId="5" fillId="0" borderId="9" xfId="0" applyFont="1" applyFill="1" applyBorder="1"/>
    <xf numFmtId="0" fontId="5" fillId="0" borderId="10" xfId="0" applyFont="1" applyFill="1" applyBorder="1"/>
    <xf numFmtId="0" fontId="5" fillId="0" borderId="11" xfId="0" applyFont="1" applyFill="1" applyBorder="1"/>
    <xf numFmtId="0" fontId="6" fillId="0" borderId="12" xfId="0" applyNumberFormat="1" applyFont="1" applyFill="1" applyBorder="1" applyAlignment="1">
      <alignment wrapText="1"/>
    </xf>
    <xf numFmtId="0" fontId="5" fillId="0" borderId="13" xfId="0" applyNumberFormat="1" applyFont="1" applyFill="1" applyBorder="1"/>
    <xf numFmtId="0" fontId="6" fillId="0" borderId="14" xfId="0" applyNumberFormat="1" applyFont="1" applyFill="1" applyBorder="1" applyAlignment="1">
      <alignment wrapText="1"/>
    </xf>
    <xf numFmtId="0" fontId="5" fillId="0" borderId="15" xfId="0" applyNumberFormat="1" applyFont="1" applyFill="1" applyBorder="1"/>
    <xf numFmtId="0" fontId="6" fillId="0" borderId="16" xfId="0" applyNumberFormat="1" applyFont="1" applyFill="1" applyBorder="1" applyAlignment="1">
      <alignment wrapText="1"/>
    </xf>
    <xf numFmtId="0" fontId="5" fillId="0" borderId="17" xfId="0" applyFont="1" applyFill="1" applyBorder="1"/>
    <xf numFmtId="0" fontId="6" fillId="3" borderId="18" xfId="0" applyFont="1" applyFill="1" applyBorder="1" applyAlignment="1">
      <alignment wrapText="1"/>
    </xf>
    <xf numFmtId="0" fontId="6" fillId="3" borderId="8" xfId="0" applyFont="1" applyFill="1" applyBorder="1" applyAlignment="1">
      <alignment wrapText="1"/>
    </xf>
    <xf numFmtId="0" fontId="5" fillId="3" borderId="18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2" fillId="0" borderId="0" xfId="1" applyFill="1" applyBorder="1" applyAlignment="1" applyProtection="1"/>
    <xf numFmtId="0" fontId="7" fillId="0" borderId="0" xfId="0" applyFont="1"/>
    <xf numFmtId="0" fontId="5" fillId="0" borderId="8" xfId="2" applyFont="1" applyFill="1" applyBorder="1"/>
    <xf numFmtId="0" fontId="6" fillId="0" borderId="8" xfId="2" applyFont="1" applyFill="1" applyBorder="1" applyAlignment="1">
      <alignment horizontal="right" wrapText="1"/>
    </xf>
    <xf numFmtId="0" fontId="5" fillId="0" borderId="0" xfId="2" applyFont="1" applyFill="1" applyBorder="1"/>
    <xf numFmtId="0" fontId="6" fillId="0" borderId="12" xfId="2" applyNumberFormat="1" applyFont="1" applyFill="1" applyBorder="1" applyAlignment="1">
      <alignment wrapText="1"/>
    </xf>
    <xf numFmtId="0" fontId="5" fillId="0" borderId="13" xfId="2" applyNumberFormat="1" applyFont="1" applyFill="1" applyBorder="1"/>
    <xf numFmtId="0" fontId="5" fillId="0" borderId="9" xfId="2" applyFont="1" applyFill="1" applyBorder="1"/>
    <xf numFmtId="0" fontId="6" fillId="0" borderId="14" xfId="2" applyNumberFormat="1" applyFont="1" applyFill="1" applyBorder="1" applyAlignment="1">
      <alignment wrapText="1"/>
    </xf>
    <xf numFmtId="0" fontId="5" fillId="0" borderId="15" xfId="2" applyNumberFormat="1" applyFont="1" applyFill="1" applyBorder="1"/>
    <xf numFmtId="0" fontId="5" fillId="0" borderId="10" xfId="2" applyFont="1" applyFill="1" applyBorder="1"/>
    <xf numFmtId="0" fontId="6" fillId="0" borderId="16" xfId="2" applyNumberFormat="1" applyFont="1" applyFill="1" applyBorder="1" applyAlignment="1">
      <alignment wrapText="1"/>
    </xf>
    <xf numFmtId="0" fontId="5" fillId="0" borderId="17" xfId="2" applyFont="1" applyFill="1" applyBorder="1"/>
    <xf numFmtId="0" fontId="5" fillId="0" borderId="11" xfId="2" applyFont="1" applyFill="1" applyBorder="1"/>
    <xf numFmtId="0" fontId="5" fillId="3" borderId="7" xfId="2" applyFont="1" applyFill="1" applyBorder="1"/>
    <xf numFmtId="0" fontId="5" fillId="3" borderId="0" xfId="2" applyFont="1" applyFill="1" applyBorder="1"/>
    <xf numFmtId="0" fontId="5" fillId="3" borderId="6" xfId="2" applyFont="1" applyFill="1" applyBorder="1"/>
    <xf numFmtId="0" fontId="6" fillId="3" borderId="18" xfId="2" applyFont="1" applyFill="1" applyBorder="1" applyAlignment="1">
      <alignment wrapText="1"/>
    </xf>
    <xf numFmtId="0" fontId="5" fillId="3" borderId="18" xfId="2" applyFont="1" applyFill="1" applyBorder="1" applyAlignment="1">
      <alignment horizontal="center"/>
    </xf>
    <xf numFmtId="0" fontId="5" fillId="3" borderId="0" xfId="2" applyFont="1" applyFill="1" applyBorder="1" applyAlignment="1">
      <alignment horizontal="center"/>
    </xf>
    <xf numFmtId="0" fontId="6" fillId="3" borderId="8" xfId="2" applyFont="1" applyFill="1" applyBorder="1" applyAlignment="1">
      <alignment wrapText="1"/>
    </xf>
    <xf numFmtId="0" fontId="5" fillId="3" borderId="8" xfId="2" applyFont="1" applyFill="1" applyBorder="1" applyAlignment="1">
      <alignment horizontal="center"/>
    </xf>
    <xf numFmtId="0" fontId="7" fillId="0" borderId="0" xfId="2" applyFill="1" applyBorder="1"/>
    <xf numFmtId="0" fontId="4" fillId="2" borderId="4" xfId="2" applyFont="1" applyFill="1" applyBorder="1" applyAlignment="1">
      <alignment wrapText="1"/>
    </xf>
    <xf numFmtId="0" fontId="4" fillId="2" borderId="5" xfId="2" applyFont="1" applyFill="1" applyBorder="1" applyAlignment="1">
      <alignment wrapText="1"/>
    </xf>
    <xf numFmtId="0" fontId="4" fillId="2" borderId="0" xfId="2" applyFont="1" applyFill="1" applyBorder="1" applyAlignment="1">
      <alignment wrapText="1"/>
    </xf>
    <xf numFmtId="0" fontId="3" fillId="2" borderId="3" xfId="2" applyFont="1" applyFill="1" applyBorder="1" applyAlignment="1">
      <alignment wrapText="1"/>
    </xf>
    <xf numFmtId="0" fontId="3" fillId="2" borderId="1" xfId="2" applyFont="1" applyFill="1" applyBorder="1" applyAlignment="1">
      <alignment wrapText="1"/>
    </xf>
    <xf numFmtId="0" fontId="3" fillId="2" borderId="2" xfId="2" applyFont="1" applyFill="1" applyBorder="1" applyAlignment="1">
      <alignment wrapText="1"/>
    </xf>
    <xf numFmtId="0" fontId="7" fillId="0" borderId="0" xfId="2"/>
    <xf numFmtId="0" fontId="5" fillId="0" borderId="0" xfId="0" applyFont="1" applyFill="1" applyBorder="1" applyAlignment="1">
      <alignment vertical="top" wrapText="1"/>
    </xf>
  </cellXfs>
  <cellStyles count="3">
    <cellStyle name="Hyperlink" xfId="1" builtinId="8"/>
    <cellStyle name="Normal" xfId="0" builtinId="0"/>
    <cellStyle name="Normal 2" xfId="2"/>
  </cellStyles>
  <dxfs count="118"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68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69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7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2</xdr:row>
          <xdr:rowOff>9525</xdr:rowOff>
        </xdr:from>
        <xdr:to>
          <xdr:col>4</xdr:col>
          <xdr:colOff>514350</xdr:colOff>
          <xdr:row>4</xdr:row>
          <xdr:rowOff>19050</xdr:rowOff>
        </xdr:to>
        <xdr:sp macro="" textlink="">
          <xdr:nvSpPr>
            <xdr:cNvPr id="29699" name="importButton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</xdr:row>
          <xdr:rowOff>47625</xdr:rowOff>
        </xdr:from>
        <xdr:to>
          <xdr:col>7</xdr:col>
          <xdr:colOff>495300</xdr:colOff>
          <xdr:row>3</xdr:row>
          <xdr:rowOff>152400</xdr:rowOff>
        </xdr:to>
        <xdr:sp macro="" textlink="">
          <xdr:nvSpPr>
            <xdr:cNvPr id="29720" name="FuncAreaList" hidden="1">
              <a:extLst>
                <a:ext uri="{63B3BB69-23CF-44E3-9099-C40C66FF867C}">
                  <a14:compatExt spid="_x0000_s29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</xdr:row>
          <xdr:rowOff>180975</xdr:rowOff>
        </xdr:from>
        <xdr:to>
          <xdr:col>4</xdr:col>
          <xdr:colOff>1352550</xdr:colOff>
          <xdr:row>2</xdr:row>
          <xdr:rowOff>219075</xdr:rowOff>
        </xdr:to>
        <xdr:sp macro="" textlink="">
          <xdr:nvSpPr>
            <xdr:cNvPr id="231427" name="CommandButton1" hidden="1">
              <a:extLst>
                <a:ext uri="{63B3BB69-23CF-44E3-9099-C40C66FF867C}">
                  <a14:compatExt spid="_x0000_s23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CU_SCA_REPORT_4-15-2019/GCU_SCA_R_X_CONSOLIDATED_REPORT_4_15_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ummary"/>
      <sheetName val="Template"/>
      <sheetName val="CSV_Lists"/>
      <sheetName val="RECONFIGEPONLYMES"/>
      <sheetName val="RECONFIGSTATUS"/>
      <sheetName val="RFMCINITIATEDOPTST"/>
      <sheetName val="RFMCINITIATEDOPTSTTOPLEVEL"/>
      <sheetName val="RINGBTB"/>
      <sheetName val="RINGBTBFTCPROTECTION"/>
      <sheetName val="RINGBTBFTO"/>
      <sheetName val="ROLSPROTECTION"/>
      <sheetName val="ROTORBURSTPROTECTION"/>
      <sheetName val="RT_ENAB"/>
      <sheetName val="SELECTINPUTS"/>
      <sheetName val="SELECTOUTPUTS"/>
      <sheetName val="SNGLSRC_SPLITSYS_ALTERNATEPATH"/>
      <sheetName val="SOFTCALIBRATION"/>
      <sheetName val="SOFTCALPROCESSING"/>
      <sheetName val="SPLIT235AND115SYS"/>
      <sheetName val="SRCID"/>
      <sheetName val="SRCPRIORITYTBL"/>
      <sheetName val="SSIDESNGLSRC115TO235XXER"/>
      <sheetName val="SSIDESNGLSRC235TO115XFER"/>
      <sheetName val="SSX_POSTINIT"/>
      <sheetName val="SSX_PREINIT"/>
      <sheetName val="STAGGER_XFERS"/>
      <sheetName val="STARTCONTCONTROL"/>
      <sheetName val="TBDPPROTECTION"/>
      <sheetName val="TIEBTB"/>
      <sheetName val="TIEBTBFTCPROTECTION"/>
      <sheetName val="TIEBTBFTO1"/>
      <sheetName val="TIEBTBFTO2"/>
      <sheetName val="UPFPROTECTION"/>
      <sheetName val="UNDERPROTECTIONWITHINHIBITANDC"/>
      <sheetName val="V235ATRUHVDCUVPROT"/>
      <sheetName val="V235ATRUOTPROT"/>
      <sheetName val="V235ATRUSATURATION"/>
      <sheetName val="V235BUS_PATH"/>
      <sheetName val="V235BUSXFER_ENGINE"/>
      <sheetName val="V270BUSSTATE"/>
      <sheetName val="V270BUSXFER_ENGINE"/>
      <sheetName val="VFSGASGPROTECTIONS"/>
      <sheetName val="VFSGDISCMAINTENANCE"/>
      <sheetName val="VFSGDISCONNECT"/>
      <sheetName val="VFSGOC2ISOLATION"/>
      <sheetName val="VFSGOC2PROTECTION"/>
      <sheetName val="VFSGOCISOLATION"/>
      <sheetName val="VFSGOCPROTECTION"/>
      <sheetName val="VFSGOCPROTECTIONUS"/>
      <sheetName val="VFSGOFPROTECTION"/>
      <sheetName val="VFSGOILPRESSUREMONITOR"/>
      <sheetName val="VFSGSRDFAILSAFEPROTECTION"/>
      <sheetName val="VFSGUF1PROTECTION"/>
      <sheetName val="VFSGUNDERSPEED"/>
      <sheetName val="VFSGUV2PROTECTION"/>
      <sheetName val="VRCONTROL"/>
      <sheetName val="XFERMODES"/>
      <sheetName val="XFERSTATE"/>
      <sheetName val="XFERSTATU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K110"/>
  <sheetViews>
    <sheetView workbookViewId="0">
      <selection activeCell="B24" sqref="B24"/>
    </sheetView>
  </sheetViews>
  <sheetFormatPr defaultRowHeight="12.75" x14ac:dyDescent="0.2"/>
  <cols>
    <col min="2" max="2" width="44.42578125" customWidth="1"/>
    <col min="11" max="11" width="13.140625" hidden="1" customWidth="1"/>
  </cols>
  <sheetData>
    <row r="2" spans="1:11" x14ac:dyDescent="0.2">
      <c r="K2" s="30" t="s">
        <v>671</v>
      </c>
    </row>
    <row r="3" spans="1:11" x14ac:dyDescent="0.2">
      <c r="B3" s="9" t="s">
        <v>716</v>
      </c>
      <c r="K3" s="30" t="s">
        <v>672</v>
      </c>
    </row>
    <row r="4" spans="1:11" x14ac:dyDescent="0.2">
      <c r="B4" s="9" t="s">
        <v>730</v>
      </c>
      <c r="J4" t="s">
        <v>0</v>
      </c>
      <c r="K4" s="30" t="s">
        <v>673</v>
      </c>
    </row>
    <row r="5" spans="1:11" x14ac:dyDescent="0.2">
      <c r="A5" s="9"/>
      <c r="B5" s="9" t="s">
        <v>736</v>
      </c>
      <c r="K5" s="30" t="s">
        <v>674</v>
      </c>
    </row>
    <row r="6" spans="1:11" x14ac:dyDescent="0.2">
      <c r="B6" s="9" t="s">
        <v>746</v>
      </c>
      <c r="K6" s="30" t="s">
        <v>675</v>
      </c>
    </row>
    <row r="7" spans="1:11" x14ac:dyDescent="0.2">
      <c r="B7" s="9" t="s">
        <v>759</v>
      </c>
      <c r="K7" s="30" t="s">
        <v>676</v>
      </c>
    </row>
    <row r="8" spans="1:11" x14ac:dyDescent="0.2">
      <c r="B8" s="9" t="s">
        <v>767</v>
      </c>
      <c r="K8" s="30" t="s">
        <v>677</v>
      </c>
    </row>
    <row r="9" spans="1:11" x14ac:dyDescent="0.2">
      <c r="B9" s="9" t="s">
        <v>775</v>
      </c>
      <c r="K9" s="30" t="s">
        <v>678</v>
      </c>
    </row>
    <row r="10" spans="1:11" x14ac:dyDescent="0.2">
      <c r="B10" s="9" t="s">
        <v>785</v>
      </c>
      <c r="K10" s="30"/>
    </row>
    <row r="11" spans="1:11" x14ac:dyDescent="0.2">
      <c r="B11" s="9" t="s">
        <v>793</v>
      </c>
      <c r="K11" s="30"/>
    </row>
    <row r="12" spans="1:11" x14ac:dyDescent="0.2">
      <c r="B12" s="9" t="s">
        <v>798</v>
      </c>
      <c r="K12" s="30"/>
    </row>
    <row r="13" spans="1:11" x14ac:dyDescent="0.2">
      <c r="B13" s="9" t="s">
        <v>828</v>
      </c>
      <c r="K13" s="30"/>
    </row>
    <row r="14" spans="1:11" x14ac:dyDescent="0.2">
      <c r="B14" s="9" t="s">
        <v>832</v>
      </c>
      <c r="K14" s="30"/>
    </row>
    <row r="15" spans="1:11" x14ac:dyDescent="0.2">
      <c r="B15" s="9" t="s">
        <v>851</v>
      </c>
      <c r="K15" s="30"/>
    </row>
    <row r="16" spans="1:11" x14ac:dyDescent="0.2">
      <c r="B16" s="9" t="s">
        <v>854</v>
      </c>
      <c r="K16" s="30"/>
    </row>
    <row r="17" spans="2:11" x14ac:dyDescent="0.2">
      <c r="B17" s="9" t="s">
        <v>859</v>
      </c>
      <c r="K17" s="30"/>
    </row>
    <row r="18" spans="2:11" x14ac:dyDescent="0.2">
      <c r="B18" s="9" t="s">
        <v>863</v>
      </c>
      <c r="K18" s="30"/>
    </row>
    <row r="19" spans="2:11" x14ac:dyDescent="0.2">
      <c r="B19" s="9" t="s">
        <v>870</v>
      </c>
      <c r="K19" s="30"/>
    </row>
    <row r="20" spans="2:11" x14ac:dyDescent="0.2">
      <c r="B20" s="9" t="s">
        <v>876</v>
      </c>
      <c r="K20" s="30"/>
    </row>
    <row r="21" spans="2:11" x14ac:dyDescent="0.2">
      <c r="B21" s="9" t="s">
        <v>881</v>
      </c>
      <c r="K21" s="30"/>
    </row>
    <row r="22" spans="2:11" x14ac:dyDescent="0.2">
      <c r="B22" s="9" t="s">
        <v>884</v>
      </c>
      <c r="K22" s="30"/>
    </row>
    <row r="23" spans="2:11" x14ac:dyDescent="0.2">
      <c r="B23" s="9" t="s">
        <v>890</v>
      </c>
      <c r="K23" s="30"/>
    </row>
    <row r="24" spans="2:11" x14ac:dyDescent="0.2">
      <c r="B24" s="9" t="s">
        <v>894</v>
      </c>
      <c r="K24" s="30"/>
    </row>
    <row r="25" spans="2:11" x14ac:dyDescent="0.2">
      <c r="B25" s="9" t="s">
        <v>911</v>
      </c>
      <c r="K25" s="30"/>
    </row>
    <row r="26" spans="2:11" x14ac:dyDescent="0.2">
      <c r="B26" s="9" t="s">
        <v>915</v>
      </c>
      <c r="K26" s="30"/>
    </row>
    <row r="27" spans="2:11" x14ac:dyDescent="0.2">
      <c r="B27" s="9" t="s">
        <v>919</v>
      </c>
      <c r="K27" s="30"/>
    </row>
    <row r="28" spans="2:11" x14ac:dyDescent="0.2">
      <c r="B28" s="9" t="s">
        <v>933</v>
      </c>
      <c r="K28" s="30"/>
    </row>
    <row r="29" spans="2:11" x14ac:dyDescent="0.2">
      <c r="B29" s="9" t="s">
        <v>939</v>
      </c>
      <c r="K29" s="30"/>
    </row>
    <row r="30" spans="2:11" x14ac:dyDescent="0.2">
      <c r="B30" s="9" t="s">
        <v>945</v>
      </c>
    </row>
    <row r="31" spans="2:11" x14ac:dyDescent="0.2">
      <c r="B31" s="9" t="s">
        <v>949</v>
      </c>
    </row>
    <row r="32" spans="2:11" x14ac:dyDescent="0.2">
      <c r="B32" s="9" t="s">
        <v>954</v>
      </c>
    </row>
    <row r="33" spans="2:2" x14ac:dyDescent="0.2">
      <c r="B33" s="9" t="s">
        <v>959</v>
      </c>
    </row>
    <row r="34" spans="2:2" x14ac:dyDescent="0.2">
      <c r="B34" s="9" t="s">
        <v>963</v>
      </c>
    </row>
    <row r="35" spans="2:2" x14ac:dyDescent="0.2">
      <c r="B35" s="9" t="s">
        <v>971</v>
      </c>
    </row>
    <row r="36" spans="2:2" x14ac:dyDescent="0.2">
      <c r="B36" s="9" t="s">
        <v>975</v>
      </c>
    </row>
    <row r="37" spans="2:2" x14ac:dyDescent="0.2">
      <c r="B37" s="9" t="s">
        <v>1008</v>
      </c>
    </row>
    <row r="38" spans="2:2" x14ac:dyDescent="0.2">
      <c r="B38" s="9" t="s">
        <v>1014</v>
      </c>
    </row>
    <row r="39" spans="2:2" x14ac:dyDescent="0.2">
      <c r="B39" s="9" t="s">
        <v>1023</v>
      </c>
    </row>
    <row r="40" spans="2:2" x14ac:dyDescent="0.2">
      <c r="B40" s="9" t="s">
        <v>1029</v>
      </c>
    </row>
    <row r="41" spans="2:2" x14ac:dyDescent="0.2">
      <c r="B41" s="9" t="s">
        <v>1057</v>
      </c>
    </row>
    <row r="42" spans="2:2" x14ac:dyDescent="0.2">
      <c r="B42" s="9" t="s">
        <v>1065</v>
      </c>
    </row>
    <row r="43" spans="2:2" x14ac:dyDescent="0.2">
      <c r="B43" s="9" t="s">
        <v>1069</v>
      </c>
    </row>
    <row r="44" spans="2:2" x14ac:dyDescent="0.2">
      <c r="B44" s="9" t="s">
        <v>1079</v>
      </c>
    </row>
    <row r="45" spans="2:2" x14ac:dyDescent="0.2">
      <c r="B45" s="9" t="s">
        <v>1084</v>
      </c>
    </row>
    <row r="46" spans="2:2" x14ac:dyDescent="0.2">
      <c r="B46" s="9" t="s">
        <v>1099</v>
      </c>
    </row>
    <row r="47" spans="2:2" x14ac:dyDescent="0.2">
      <c r="B47" s="9" t="s">
        <v>1107</v>
      </c>
    </row>
    <row r="48" spans="2:2" x14ac:dyDescent="0.2">
      <c r="B48" s="9" t="s">
        <v>1110</v>
      </c>
    </row>
    <row r="49" spans="2:2" x14ac:dyDescent="0.2">
      <c r="B49" s="9" t="s">
        <v>1114</v>
      </c>
    </row>
    <row r="50" spans="2:2" x14ac:dyDescent="0.2">
      <c r="B50" s="9" t="s">
        <v>1118</v>
      </c>
    </row>
    <row r="51" spans="2:2" x14ac:dyDescent="0.2">
      <c r="B51" s="9" t="s">
        <v>1125</v>
      </c>
    </row>
    <row r="52" spans="2:2" x14ac:dyDescent="0.2">
      <c r="B52" s="9" t="s">
        <v>1129</v>
      </c>
    </row>
    <row r="53" spans="2:2" x14ac:dyDescent="0.2">
      <c r="B53" s="9" t="s">
        <v>1133</v>
      </c>
    </row>
    <row r="54" spans="2:2" x14ac:dyDescent="0.2">
      <c r="B54" s="9" t="s">
        <v>1145</v>
      </c>
    </row>
    <row r="55" spans="2:2" x14ac:dyDescent="0.2">
      <c r="B55" s="9" t="s">
        <v>1169</v>
      </c>
    </row>
    <row r="56" spans="2:2" x14ac:dyDescent="0.2">
      <c r="B56" s="9" t="s">
        <v>1184</v>
      </c>
    </row>
    <row r="57" spans="2:2" x14ac:dyDescent="0.2">
      <c r="B57" s="9" t="s">
        <v>1187</v>
      </c>
    </row>
    <row r="58" spans="2:2" x14ac:dyDescent="0.2">
      <c r="B58" s="9" t="s">
        <v>1243</v>
      </c>
    </row>
    <row r="59" spans="2:2" x14ac:dyDescent="0.2">
      <c r="B59" s="9"/>
    </row>
    <row r="60" spans="2:2" x14ac:dyDescent="0.2">
      <c r="B60" s="9"/>
    </row>
    <row r="61" spans="2:2" x14ac:dyDescent="0.2">
      <c r="B61" s="9"/>
    </row>
    <row r="62" spans="2:2" x14ac:dyDescent="0.2">
      <c r="B62" s="9"/>
    </row>
    <row r="63" spans="2:2" x14ac:dyDescent="0.2">
      <c r="B63" s="9"/>
    </row>
    <row r="64" spans="2:2" x14ac:dyDescent="0.2">
      <c r="B64" s="9"/>
    </row>
    <row r="65" spans="2:2" x14ac:dyDescent="0.2">
      <c r="B65" s="9"/>
    </row>
    <row r="66" spans="2:2" x14ac:dyDescent="0.2">
      <c r="B66" s="9"/>
    </row>
    <row r="67" spans="2:2" x14ac:dyDescent="0.2">
      <c r="B67" s="9"/>
    </row>
    <row r="68" spans="2:2" x14ac:dyDescent="0.2">
      <c r="B68" s="9"/>
    </row>
    <row r="69" spans="2:2" x14ac:dyDescent="0.2">
      <c r="B69" s="9"/>
    </row>
    <row r="70" spans="2:2" x14ac:dyDescent="0.2">
      <c r="B70" s="9"/>
    </row>
    <row r="71" spans="2:2" x14ac:dyDescent="0.2">
      <c r="B71" s="9"/>
    </row>
    <row r="72" spans="2:2" x14ac:dyDescent="0.2">
      <c r="B72" s="9"/>
    </row>
    <row r="73" spans="2:2" x14ac:dyDescent="0.2">
      <c r="B73" s="9"/>
    </row>
    <row r="74" spans="2:2" x14ac:dyDescent="0.2">
      <c r="B74" s="9"/>
    </row>
    <row r="75" spans="2:2" x14ac:dyDescent="0.2">
      <c r="B75" s="9"/>
    </row>
    <row r="76" spans="2:2" x14ac:dyDescent="0.2">
      <c r="B76" s="9"/>
    </row>
    <row r="77" spans="2:2" x14ac:dyDescent="0.2">
      <c r="B77" s="9"/>
    </row>
    <row r="78" spans="2:2" x14ac:dyDescent="0.2">
      <c r="B78" s="9"/>
    </row>
    <row r="79" spans="2:2" x14ac:dyDescent="0.2">
      <c r="B79" s="9"/>
    </row>
    <row r="80" spans="2:2" x14ac:dyDescent="0.2">
      <c r="B80" s="9"/>
    </row>
    <row r="81" spans="2:2" x14ac:dyDescent="0.2">
      <c r="B81" s="9"/>
    </row>
    <row r="82" spans="2:2" x14ac:dyDescent="0.2">
      <c r="B82" s="9"/>
    </row>
    <row r="83" spans="2:2" x14ac:dyDescent="0.2">
      <c r="B83" s="9"/>
    </row>
    <row r="84" spans="2:2" x14ac:dyDescent="0.2">
      <c r="B84" s="9"/>
    </row>
    <row r="85" spans="2:2" x14ac:dyDescent="0.2">
      <c r="B85" s="9"/>
    </row>
    <row r="86" spans="2:2" x14ac:dyDescent="0.2">
      <c r="B86" s="9"/>
    </row>
    <row r="87" spans="2:2" x14ac:dyDescent="0.2">
      <c r="B87" s="9"/>
    </row>
    <row r="88" spans="2:2" x14ac:dyDescent="0.2">
      <c r="B88" s="9"/>
    </row>
    <row r="89" spans="2:2" x14ac:dyDescent="0.2">
      <c r="B89" s="9"/>
    </row>
    <row r="90" spans="2:2" x14ac:dyDescent="0.2">
      <c r="B90" s="9"/>
    </row>
    <row r="91" spans="2:2" x14ac:dyDescent="0.2">
      <c r="B91" s="9"/>
    </row>
    <row r="92" spans="2:2" x14ac:dyDescent="0.2">
      <c r="B92" s="9"/>
    </row>
    <row r="93" spans="2:2" x14ac:dyDescent="0.2">
      <c r="B93" s="9"/>
    </row>
    <row r="94" spans="2:2" x14ac:dyDescent="0.2">
      <c r="B94" s="9"/>
    </row>
    <row r="95" spans="2:2" x14ac:dyDescent="0.2">
      <c r="B95" s="9"/>
    </row>
    <row r="96" spans="2:2" x14ac:dyDescent="0.2">
      <c r="B96" s="9"/>
    </row>
    <row r="97" spans="2:2" x14ac:dyDescent="0.2">
      <c r="B97" s="9"/>
    </row>
    <row r="98" spans="2:2" x14ac:dyDescent="0.2">
      <c r="B98" s="9"/>
    </row>
    <row r="99" spans="2:2" x14ac:dyDescent="0.2">
      <c r="B99" s="9"/>
    </row>
    <row r="100" spans="2:2" x14ac:dyDescent="0.2">
      <c r="B100" s="9"/>
    </row>
    <row r="101" spans="2:2" x14ac:dyDescent="0.2">
      <c r="B101" s="9"/>
    </row>
    <row r="102" spans="2:2" x14ac:dyDescent="0.2">
      <c r="B102" s="9"/>
    </row>
    <row r="103" spans="2:2" x14ac:dyDescent="0.2">
      <c r="B103" s="9"/>
    </row>
    <row r="104" spans="2:2" x14ac:dyDescent="0.2">
      <c r="B104" s="9"/>
    </row>
    <row r="105" spans="2:2" x14ac:dyDescent="0.2">
      <c r="B105" s="9"/>
    </row>
    <row r="106" spans="2:2" x14ac:dyDescent="0.2">
      <c r="B106" s="9"/>
    </row>
    <row r="107" spans="2:2" x14ac:dyDescent="0.2">
      <c r="B107" s="9"/>
    </row>
    <row r="108" spans="2:2" x14ac:dyDescent="0.2">
      <c r="B108" s="9"/>
    </row>
    <row r="109" spans="2:2" x14ac:dyDescent="0.2">
      <c r="B109" s="9"/>
    </row>
    <row r="110" spans="2:2" x14ac:dyDescent="0.2">
      <c r="B110" s="9"/>
    </row>
  </sheetData>
  <sheetProtection selectLockedCells="1" selectUnlockedCells="1"/>
  <phoneticPr fontId="1" type="noConversion"/>
  <hyperlinks>
    <hyperlink ref="B3" location="RECONFIGEPONLYMES!A1" display="RECONFIGEPONLYMES"/>
    <hyperlink ref="B4" location="RECONFIGSTATUS!A1" display="RECONFIGSTATUS"/>
    <hyperlink ref="B5" location="RFMCINITIATEDOPTST!A1" display="RFMCINITIATEDOPTST"/>
    <hyperlink ref="B6" location="RFMCINITIATEDOPTSTTOPLEVEL!A1" display="RFMCINITIATEDOPTSTTOPLEVEL"/>
    <hyperlink ref="B7" location="RINGBTB!A1" display="RINGBTB"/>
    <hyperlink ref="B8" location="RINGBTBFTCPROTECTION!A1" display="RINGBTBFTCPROTECTION"/>
    <hyperlink ref="B9" location="RINGBTBFTO!A1" display="RINGBTBFTO"/>
    <hyperlink ref="B10" location="ROLSPROTECTION!A1" display="ROLSPROTECTION"/>
    <hyperlink ref="B11" location="ROTORBURSTPROTECTION!A1" display="ROTORBURSTPROTECTION"/>
    <hyperlink ref="B12" location="RT_ENAB!A1" display="RT_ENAB"/>
    <hyperlink ref="B13" location="SELECTINPUTS!A1" display="SELECTINPUTS"/>
    <hyperlink ref="B14" location="SELECTOUTPUTS!A1" display="SELECTOUTPUTS"/>
    <hyperlink ref="B15" location="SNGLSRC_SPLITSYS_ALTERNATEPATH!A1" display="SNGLSRC_SPLITSYS_ALTERNATEPATH"/>
    <hyperlink ref="B16" location="SOFTCALIBRATION!A1" display="SOFTCALIBRATION"/>
    <hyperlink ref="B17" location="SOFTCALPROCESSING!A1" display="SOFTCALPROCESSING"/>
    <hyperlink ref="B18" location="SPLIT235AND115SYS!A1" display="SPLIT235AND115SYS"/>
    <hyperlink ref="B19" location="SRCID!A1" display="SRCID"/>
    <hyperlink ref="B20" location="SRCPRIORITYTBL!A1" display="SRCPRIORITYTBL"/>
    <hyperlink ref="B21" location="SSIDESNGLSRC115TO235XXER!A1" display="SSIDESNGLSRC115TO235XXER"/>
    <hyperlink ref="B22" location="SSIDESNGLSRC235TO115XFER!A1" display="SSIDESNGLSRC235TO115XFER"/>
    <hyperlink ref="B23" location="SSX_POSTINIT!A1" display="SSX_POSTINIT"/>
    <hyperlink ref="B24" location="SSX_PREINIT!A1" display="SSX_PREINIT"/>
    <hyperlink ref="B25" location="STAGGER_XFERS!A1" display="STAGGER_XFERS"/>
    <hyperlink ref="B26" location="STARTCONTCONTROL!A1" display="STARTCONTCONTROL"/>
    <hyperlink ref="B27" location="TBDPPROTECTION!A1" display="TBDPPROTECTION"/>
    <hyperlink ref="B28" location="TIEBTB!A1" display="TIEBTB"/>
    <hyperlink ref="B29" location="TIEBTBFTCPROTECTION!A1" display="TIEBTBFTCPROTECTION"/>
    <hyperlink ref="B30" location="TIEBTBFTO1!A1" display="TIEBTBFTO1"/>
    <hyperlink ref="B31" location="TIEBTBFTO2!A1" display="TIEBTBFTO2"/>
    <hyperlink ref="B32" location="UPFPROTECTION!A1" display="UPFPROTECTION"/>
    <hyperlink ref="B33" location="UNDERPROTECTIONWITHINHIBITANDC!A1" display="UNDERPROTECTIONWITHINHIBITANDC"/>
    <hyperlink ref="B34" location="V235ATRUHVDCUVPROT!A1" display="V235ATRUHVDCUVPROT"/>
    <hyperlink ref="B35" location="V235ATRUOTPROT!A1" display="V235ATRUOTPROT"/>
    <hyperlink ref="B36" location="V235ATRUSATURATION!A1" display="V235ATRUSATURATION"/>
    <hyperlink ref="B37" location="V235BUS_PATH!A1" display="V235BUS_PATH"/>
    <hyperlink ref="B38" location="V235BUSXFER_ENGINE!A1" display="V235BUSXFER_ENGINE"/>
    <hyperlink ref="B39" location="V270BUSSTATE!A1" display="V270BUSSTATE"/>
    <hyperlink ref="B40" location="V270BUSXFER_ENGINE!A1" display="V270BUSXFER_ENGINE"/>
    <hyperlink ref="B41" location="VFSGASGPROTECTIONS!A1" display="VFSGASGPROTECTIONS"/>
    <hyperlink ref="B42" location="VFSGDISCMAINTENANCE!A1" display="VFSGDISCMAINTENANCE"/>
    <hyperlink ref="B43" location="VFSGDISCONNECT!A1" display="VFSGDISCONNECT"/>
    <hyperlink ref="B44" location="VFSGOC2ISOLATION!A1" display="VFSGOC2ISOLATION"/>
    <hyperlink ref="B45" location="VFSGOC2PROTECTION!A1" display="VFSGOC2PROTECTION"/>
    <hyperlink ref="B46" location="VFSGOCISOLATION!A1" display="VFSGOCISOLATION"/>
    <hyperlink ref="B47" location="VFSGOCPROTECTION!A1" display="VFSGOCPROTECTION"/>
    <hyperlink ref="B48" location="VFSGOCPROTECTIONUS!A1" display="VFSGOCPROTECTIONUS"/>
    <hyperlink ref="B49" location="VFSGOFPROTECTION!A1" display="VFSGOFPROTECTION"/>
    <hyperlink ref="B50" location="VFSGOILPRESSUREMONITOR!A1" display="VFSGOILPRESSUREMONITOR"/>
    <hyperlink ref="B51" location="VFSGSRDFAILSAFEPROTECTION!A1" display="VFSGSRDFAILSAFEPROTECTION"/>
    <hyperlink ref="B52" location="VFSGUF1PROTECTION!A1" display="VFSGUF1PROTECTION"/>
    <hyperlink ref="B53" location="VFSGUNDERSPEED!A1" display="VFSGUNDERSPEED"/>
    <hyperlink ref="B54" location="VFSGUV2PROTECTION!A1" display="VFSGUV2PROTECTION"/>
    <hyperlink ref="B55" location="VRCONTROL!A1" display="VRCONTROL"/>
    <hyperlink ref="B56" location="XFERMODES!A1" display="XFERMODES"/>
    <hyperlink ref="B57" location="XFERSTATE!A1" display="XFERSTATE"/>
    <hyperlink ref="B58" location="XFERSTATUS!A1" display="XFERSTATUS"/>
  </hyperlink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9" r:id="rId4" name="importButton">
          <controlPr defaultSize="0" autoLine="0" r:id="rId5">
            <anchor moveWithCells="1">
              <from>
                <xdr:col>2</xdr:col>
                <xdr:colOff>600075</xdr:colOff>
                <xdr:row>2</xdr:row>
                <xdr:rowOff>9525</xdr:rowOff>
              </from>
              <to>
                <xdr:col>4</xdr:col>
                <xdr:colOff>514350</xdr:colOff>
                <xdr:row>4</xdr:row>
                <xdr:rowOff>19050</xdr:rowOff>
              </to>
            </anchor>
          </controlPr>
        </control>
      </mc:Choice>
      <mc:Fallback>
        <control shapeId="29699" r:id="rId4" name="importButton"/>
      </mc:Fallback>
    </mc:AlternateContent>
    <mc:AlternateContent xmlns:mc="http://schemas.openxmlformats.org/markup-compatibility/2006">
      <mc:Choice Requires="x14">
        <control shapeId="29720" r:id="rId6" name="FuncAreaList">
          <controlPr autoLine="0" listFillRange="K2:K9" r:id="rId7">
            <anchor moveWithCells="1">
              <from>
                <xdr:col>5</xdr:col>
                <xdr:colOff>228600</xdr:colOff>
                <xdr:row>2</xdr:row>
                <xdr:rowOff>47625</xdr:rowOff>
              </from>
              <to>
                <xdr:col>7</xdr:col>
                <xdr:colOff>495300</xdr:colOff>
                <xdr:row>3</xdr:row>
                <xdr:rowOff>152400</xdr:rowOff>
              </to>
            </anchor>
          </controlPr>
        </control>
      </mc:Choice>
      <mc:Fallback>
        <control shapeId="29720" r:id="rId6" name="FuncAreaLi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8"/>
  <sheetViews>
    <sheetView tabSelected="1" workbookViewId="0"/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v>1393</v>
      </c>
      <c r="C2" s="15">
        <v>1370</v>
      </c>
    </row>
    <row r="3" spans="1:5" ht="22.5" x14ac:dyDescent="0.2">
      <c r="A3" s="20" t="s">
        <v>15</v>
      </c>
      <c r="B3" s="21">
        <v>122</v>
      </c>
      <c r="C3" s="16">
        <v>121</v>
      </c>
      <c r="E3" s="29"/>
    </row>
    <row r="4" spans="1:5" ht="22.5" x14ac:dyDescent="0.2">
      <c r="A4" s="20" t="s">
        <v>16</v>
      </c>
      <c r="B4" s="21">
        <v>3471</v>
      </c>
      <c r="C4" s="16">
        <v>3445</v>
      </c>
      <c r="E4" s="29"/>
    </row>
    <row r="5" spans="1:5" ht="22.5" x14ac:dyDescent="0.2">
      <c r="A5" s="20" t="s">
        <v>17</v>
      </c>
      <c r="B5" s="21">
        <v>1196</v>
      </c>
      <c r="C5" s="16">
        <v>1194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6182</v>
      </c>
      <c r="C7" s="17">
        <f>SUM(C2:C5)</f>
        <v>6130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52</v>
      </c>
      <c r="C10" s="27"/>
    </row>
    <row r="11" spans="1:5" ht="13.5" thickBot="1" x14ac:dyDescent="0.25">
      <c r="A11" s="25" t="s">
        <v>21</v>
      </c>
      <c r="B11" s="28"/>
      <c r="C11" s="28">
        <v>0</v>
      </c>
    </row>
    <row r="12" spans="1:5" ht="23.25" thickBot="1" x14ac:dyDescent="0.25">
      <c r="A12" s="25" t="s">
        <v>22</v>
      </c>
      <c r="B12" s="28"/>
      <c r="C12" s="28">
        <v>0</v>
      </c>
    </row>
    <row r="13" spans="1:5" ht="23.25" thickBot="1" x14ac:dyDescent="0.25">
      <c r="A13" s="25" t="s">
        <v>23</v>
      </c>
      <c r="B13" s="28"/>
      <c r="C13" s="28">
        <v>2</v>
      </c>
    </row>
    <row r="14" spans="1:5" ht="23.25" thickBot="1" x14ac:dyDescent="0.25">
      <c r="A14" s="25" t="s">
        <v>24</v>
      </c>
      <c r="B14" s="28"/>
      <c r="C14" s="28">
        <v>0</v>
      </c>
    </row>
    <row r="15" spans="1:5" ht="13.5" thickBot="1" x14ac:dyDescent="0.25">
      <c r="A15" s="25" t="s">
        <v>19</v>
      </c>
      <c r="B15" s="28"/>
      <c r="C15" s="28">
        <v>50</v>
      </c>
    </row>
    <row r="16" spans="1:5" ht="23.25" thickBot="1" x14ac:dyDescent="0.25">
      <c r="A16" s="25" t="s">
        <v>20</v>
      </c>
      <c r="B16" s="28"/>
      <c r="C16" s="28">
        <v>0</v>
      </c>
    </row>
    <row r="17" spans="2:3" x14ac:dyDescent="0.2">
      <c r="B17" s="5" t="s">
        <v>26</v>
      </c>
      <c r="C17" s="5">
        <f>SUM(C11:C16)</f>
        <v>52</v>
      </c>
    </row>
    <row r="18" spans="2:3" x14ac:dyDescent="0.2">
      <c r="B18" s="5" t="s">
        <v>25</v>
      </c>
      <c r="C18" s="5">
        <f>B10-C17</f>
        <v>0</v>
      </c>
    </row>
  </sheetData>
  <phoneticPr fontId="1" type="noConversion"/>
  <conditionalFormatting sqref="C17">
    <cfRule type="cellIs" dxfId="117" priority="1" stopIfTrue="1" operator="equal">
      <formula>$B$10</formula>
    </cfRule>
    <cfRule type="cellIs" dxfId="116" priority="2" stopIfTrue="1" operator="notEqual">
      <formula>$B$10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1427" r:id="rId4" name="CommandButton1">
          <controlPr autoLine="0" r:id="rId5">
            <anchor moveWithCells="1">
              <from>
                <xdr:col>4</xdr:col>
                <xdr:colOff>200025</xdr:colOff>
                <xdr:row>1</xdr:row>
                <xdr:rowOff>180975</xdr:rowOff>
              </from>
              <to>
                <xdr:col>4</xdr:col>
                <xdr:colOff>1352550</xdr:colOff>
                <xdr:row>2</xdr:row>
                <xdr:rowOff>219075</xdr:rowOff>
              </to>
            </anchor>
          </controlPr>
        </control>
      </mc:Choice>
      <mc:Fallback>
        <control shapeId="23142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H18"/>
  <sheetViews>
    <sheetView workbookViewId="0">
      <selection activeCell="E25" sqref="E25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0</v>
      </c>
      <c r="C2" s="15">
        <f>IF(ISERROR(VALUE(TRIM(CLEAN(MID(C20,FIND("(",C20)+1,FIND("/",C20,1)-FIND("(",C20)-1))))),0,VALUE(TRIM(CLEAN(MID(C20,FIND("(",C20)+1,FIND("/",C20,1)-FIND("(",C20)-1)))))</f>
        <v>0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0</v>
      </c>
      <c r="C7" s="17">
        <f>SUM(C2:C5)</f>
        <v>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</sheetData>
  <autoFilter ref="A18:H18"/>
  <phoneticPr fontId="1" type="noConversion"/>
  <conditionalFormatting sqref="C17">
    <cfRule type="cellIs" dxfId="115" priority="1" stopIfTrue="1" operator="equal">
      <formula>$B$10</formula>
    </cfRule>
    <cfRule type="cellIs" dxfId="11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O113"/>
  <sheetViews>
    <sheetView topLeftCell="I1" workbookViewId="0">
      <selection activeCell="H1" sqref="A1:H1048576"/>
    </sheetView>
  </sheetViews>
  <sheetFormatPr defaultColWidth="9.140625" defaultRowHeight="12.75" x14ac:dyDescent="0.2"/>
  <cols>
    <col min="1" max="1" width="77.42578125" hidden="1" customWidth="1"/>
    <col min="2" max="2" width="49.85546875" hidden="1" customWidth="1"/>
    <col min="3" max="3" width="48" hidden="1" customWidth="1"/>
    <col min="4" max="4" width="55.28515625" hidden="1" customWidth="1"/>
    <col min="5" max="5" width="51.42578125" hidden="1" customWidth="1"/>
    <col min="6" max="6" width="52.5703125" hidden="1" customWidth="1"/>
    <col min="7" max="7" width="50.7109375" hidden="1" customWidth="1"/>
    <col min="8" max="8" width="51.85546875" hidden="1" customWidth="1"/>
    <col min="9" max="29" width="9.140625" customWidth="1"/>
  </cols>
  <sheetData>
    <row r="1" spans="1:15" x14ac:dyDescent="0.2">
      <c r="A1" t="s">
        <v>27</v>
      </c>
      <c r="B1" t="s">
        <v>121</v>
      </c>
      <c r="C1" t="s">
        <v>227</v>
      </c>
      <c r="D1" t="s">
        <v>692</v>
      </c>
      <c r="E1" t="s">
        <v>410</v>
      </c>
      <c r="F1" t="s">
        <v>500</v>
      </c>
      <c r="G1" t="s">
        <v>575</v>
      </c>
      <c r="H1" t="s">
        <v>619</v>
      </c>
    </row>
    <row r="2" spans="1:15" x14ac:dyDescent="0.2">
      <c r="A2" t="s">
        <v>28</v>
      </c>
      <c r="B2" t="s">
        <v>122</v>
      </c>
      <c r="C2" t="s">
        <v>228</v>
      </c>
      <c r="D2" t="s">
        <v>693</v>
      </c>
      <c r="E2" t="s">
        <v>411</v>
      </c>
      <c r="F2" t="s">
        <v>501</v>
      </c>
      <c r="G2" t="s">
        <v>576</v>
      </c>
      <c r="H2" t="s">
        <v>620</v>
      </c>
    </row>
    <row r="3" spans="1:15" x14ac:dyDescent="0.2">
      <c r="A3" t="s">
        <v>29</v>
      </c>
      <c r="B3" t="s">
        <v>123</v>
      </c>
      <c r="C3" t="s">
        <v>229</v>
      </c>
      <c r="D3" t="s">
        <v>337</v>
      </c>
      <c r="E3" t="s">
        <v>412</v>
      </c>
      <c r="F3" t="s">
        <v>502</v>
      </c>
      <c r="G3" t="s">
        <v>679</v>
      </c>
      <c r="H3" t="s">
        <v>621</v>
      </c>
    </row>
    <row r="4" spans="1:15" x14ac:dyDescent="0.2">
      <c r="A4" t="s">
        <v>30</v>
      </c>
      <c r="B4" t="s">
        <v>124</v>
      </c>
      <c r="C4" t="s">
        <v>230</v>
      </c>
      <c r="D4" t="s">
        <v>338</v>
      </c>
      <c r="E4" t="s">
        <v>413</v>
      </c>
      <c r="F4" t="s">
        <v>503</v>
      </c>
      <c r="G4" t="s">
        <v>577</v>
      </c>
      <c r="H4" t="s">
        <v>622</v>
      </c>
    </row>
    <row r="5" spans="1:15" x14ac:dyDescent="0.2">
      <c r="A5" t="s">
        <v>31</v>
      </c>
      <c r="B5" t="s">
        <v>125</v>
      </c>
      <c r="C5" t="s">
        <v>231</v>
      </c>
      <c r="D5" t="s">
        <v>339</v>
      </c>
      <c r="E5" t="s">
        <v>414</v>
      </c>
      <c r="F5" t="s">
        <v>504</v>
      </c>
      <c r="G5" t="s">
        <v>578</v>
      </c>
      <c r="H5" t="s">
        <v>623</v>
      </c>
    </row>
    <row r="6" spans="1:15" x14ac:dyDescent="0.2">
      <c r="A6" t="s">
        <v>32</v>
      </c>
      <c r="B6" t="s">
        <v>126</v>
      </c>
      <c r="C6" t="s">
        <v>232</v>
      </c>
      <c r="D6" t="s">
        <v>340</v>
      </c>
      <c r="E6" t="s">
        <v>415</v>
      </c>
      <c r="F6" t="s">
        <v>505</v>
      </c>
      <c r="G6" t="s">
        <v>579</v>
      </c>
      <c r="H6" t="s">
        <v>624</v>
      </c>
    </row>
    <row r="7" spans="1:15" x14ac:dyDescent="0.2">
      <c r="A7" t="s">
        <v>33</v>
      </c>
      <c r="B7" t="s">
        <v>127</v>
      </c>
      <c r="C7" t="s">
        <v>233</v>
      </c>
      <c r="D7" t="s">
        <v>341</v>
      </c>
      <c r="E7" t="s">
        <v>416</v>
      </c>
      <c r="F7" t="s">
        <v>506</v>
      </c>
      <c r="G7" t="s">
        <v>580</v>
      </c>
      <c r="H7" t="s">
        <v>625</v>
      </c>
    </row>
    <row r="8" spans="1:15" x14ac:dyDescent="0.2">
      <c r="A8" t="s">
        <v>34</v>
      </c>
      <c r="B8" t="s">
        <v>128</v>
      </c>
      <c r="C8" t="s">
        <v>234</v>
      </c>
      <c r="D8" t="s">
        <v>342</v>
      </c>
      <c r="E8" t="s">
        <v>417</v>
      </c>
      <c r="F8" t="s">
        <v>507</v>
      </c>
      <c r="G8" t="s">
        <v>697</v>
      </c>
      <c r="H8" t="s">
        <v>626</v>
      </c>
    </row>
    <row r="9" spans="1:15" x14ac:dyDescent="0.2">
      <c r="A9" t="s">
        <v>35</v>
      </c>
      <c r="B9" t="s">
        <v>129</v>
      </c>
      <c r="C9" t="s">
        <v>235</v>
      </c>
      <c r="D9" t="s">
        <v>343</v>
      </c>
      <c r="E9" t="s">
        <v>418</v>
      </c>
      <c r="F9" t="s">
        <v>508</v>
      </c>
      <c r="G9" t="s">
        <v>698</v>
      </c>
      <c r="H9" t="s">
        <v>627</v>
      </c>
    </row>
    <row r="10" spans="1:15" x14ac:dyDescent="0.2">
      <c r="A10" t="s">
        <v>36</v>
      </c>
      <c r="B10" t="s">
        <v>130</v>
      </c>
      <c r="C10" t="s">
        <v>236</v>
      </c>
      <c r="D10" t="s">
        <v>344</v>
      </c>
      <c r="E10" t="s">
        <v>419</v>
      </c>
      <c r="F10" t="s">
        <v>509</v>
      </c>
      <c r="G10" t="s">
        <v>581</v>
      </c>
      <c r="H10" t="s">
        <v>700</v>
      </c>
    </row>
    <row r="11" spans="1:15" x14ac:dyDescent="0.2">
      <c r="A11" t="s">
        <v>37</v>
      </c>
      <c r="B11" t="s">
        <v>685</v>
      </c>
      <c r="C11" t="s">
        <v>237</v>
      </c>
      <c r="D11" t="s">
        <v>345</v>
      </c>
      <c r="E11" t="s">
        <v>420</v>
      </c>
      <c r="F11" t="s">
        <v>510</v>
      </c>
      <c r="G11" t="s">
        <v>582</v>
      </c>
      <c r="H11" t="s">
        <v>628</v>
      </c>
    </row>
    <row r="12" spans="1:15" x14ac:dyDescent="0.2">
      <c r="A12" t="s">
        <v>38</v>
      </c>
      <c r="B12" t="s">
        <v>686</v>
      </c>
      <c r="C12" t="s">
        <v>238</v>
      </c>
      <c r="D12" t="s">
        <v>346</v>
      </c>
      <c r="E12" t="s">
        <v>421</v>
      </c>
      <c r="F12" t="s">
        <v>511</v>
      </c>
      <c r="G12" t="s">
        <v>583</v>
      </c>
      <c r="H12" t="s">
        <v>629</v>
      </c>
    </row>
    <row r="13" spans="1:15" x14ac:dyDescent="0.2">
      <c r="A13" t="s">
        <v>39</v>
      </c>
      <c r="B13" t="s">
        <v>131</v>
      </c>
      <c r="C13" t="s">
        <v>239</v>
      </c>
      <c r="D13" t="s">
        <v>347</v>
      </c>
      <c r="E13" t="s">
        <v>422</v>
      </c>
      <c r="F13" t="s">
        <v>512</v>
      </c>
      <c r="G13" t="s">
        <v>584</v>
      </c>
      <c r="H13" t="s">
        <v>630</v>
      </c>
      <c r="O13" s="30"/>
    </row>
    <row r="14" spans="1:15" x14ac:dyDescent="0.2">
      <c r="A14" t="s">
        <v>40</v>
      </c>
      <c r="B14" t="s">
        <v>132</v>
      </c>
      <c r="C14" t="s">
        <v>240</v>
      </c>
      <c r="D14" t="s">
        <v>694</v>
      </c>
      <c r="E14" t="s">
        <v>423</v>
      </c>
      <c r="F14" t="s">
        <v>513</v>
      </c>
      <c r="G14" t="s">
        <v>585</v>
      </c>
      <c r="H14" t="s">
        <v>631</v>
      </c>
    </row>
    <row r="15" spans="1:15" x14ac:dyDescent="0.2">
      <c r="A15" t="s">
        <v>41</v>
      </c>
      <c r="B15" t="s">
        <v>133</v>
      </c>
      <c r="C15" t="s">
        <v>241</v>
      </c>
      <c r="D15" t="s">
        <v>348</v>
      </c>
      <c r="E15" t="s">
        <v>424</v>
      </c>
      <c r="F15" t="s">
        <v>514</v>
      </c>
      <c r="G15" t="s">
        <v>586</v>
      </c>
      <c r="H15" t="s">
        <v>632</v>
      </c>
    </row>
    <row r="16" spans="1:15" x14ac:dyDescent="0.2">
      <c r="A16" t="s">
        <v>42</v>
      </c>
      <c r="B16" t="s">
        <v>134</v>
      </c>
      <c r="C16" t="s">
        <v>242</v>
      </c>
      <c r="D16" t="s">
        <v>349</v>
      </c>
      <c r="E16" t="s">
        <v>425</v>
      </c>
      <c r="F16" t="s">
        <v>515</v>
      </c>
      <c r="G16" t="s">
        <v>587</v>
      </c>
      <c r="H16" t="s">
        <v>633</v>
      </c>
    </row>
    <row r="17" spans="1:8" x14ac:dyDescent="0.2">
      <c r="A17" t="s">
        <v>43</v>
      </c>
      <c r="B17" t="s">
        <v>135</v>
      </c>
      <c r="C17" t="s">
        <v>243</v>
      </c>
      <c r="D17" t="s">
        <v>350</v>
      </c>
      <c r="E17" t="s">
        <v>426</v>
      </c>
      <c r="F17" t="s">
        <v>516</v>
      </c>
      <c r="G17" t="s">
        <v>588</v>
      </c>
      <c r="H17" t="s">
        <v>634</v>
      </c>
    </row>
    <row r="18" spans="1:8" x14ac:dyDescent="0.2">
      <c r="A18" t="s">
        <v>44</v>
      </c>
      <c r="B18" t="s">
        <v>136</v>
      </c>
      <c r="C18" t="s">
        <v>244</v>
      </c>
      <c r="D18" t="s">
        <v>351</v>
      </c>
      <c r="E18" t="s">
        <v>427</v>
      </c>
      <c r="F18" t="s">
        <v>517</v>
      </c>
      <c r="G18" t="s">
        <v>699</v>
      </c>
      <c r="H18" t="s">
        <v>635</v>
      </c>
    </row>
    <row r="19" spans="1:8" x14ac:dyDescent="0.2">
      <c r="A19" t="s">
        <v>45</v>
      </c>
      <c r="B19" t="s">
        <v>137</v>
      </c>
      <c r="C19" t="s">
        <v>245</v>
      </c>
      <c r="D19" t="s">
        <v>352</v>
      </c>
      <c r="E19" t="s">
        <v>428</v>
      </c>
      <c r="F19" t="s">
        <v>518</v>
      </c>
      <c r="G19" t="s">
        <v>589</v>
      </c>
      <c r="H19" t="s">
        <v>636</v>
      </c>
    </row>
    <row r="20" spans="1:8" x14ac:dyDescent="0.2">
      <c r="A20" t="s">
        <v>46</v>
      </c>
      <c r="B20" t="s">
        <v>138</v>
      </c>
      <c r="C20" t="s">
        <v>246</v>
      </c>
      <c r="D20" t="s">
        <v>353</v>
      </c>
      <c r="E20" t="s">
        <v>429</v>
      </c>
      <c r="F20" t="s">
        <v>519</v>
      </c>
      <c r="G20" t="s">
        <v>590</v>
      </c>
      <c r="H20" t="s">
        <v>637</v>
      </c>
    </row>
    <row r="21" spans="1:8" x14ac:dyDescent="0.2">
      <c r="A21" t="s">
        <v>47</v>
      </c>
      <c r="B21" t="s">
        <v>139</v>
      </c>
      <c r="C21" t="s">
        <v>247</v>
      </c>
      <c r="D21" t="s">
        <v>354</v>
      </c>
      <c r="E21" t="s">
        <v>430</v>
      </c>
      <c r="F21" t="s">
        <v>520</v>
      </c>
      <c r="G21" t="s">
        <v>591</v>
      </c>
      <c r="H21" t="s">
        <v>684</v>
      </c>
    </row>
    <row r="22" spans="1:8" x14ac:dyDescent="0.2">
      <c r="A22" t="s">
        <v>48</v>
      </c>
      <c r="B22" t="s">
        <v>140</v>
      </c>
      <c r="C22" t="s">
        <v>248</v>
      </c>
      <c r="D22" t="s">
        <v>355</v>
      </c>
      <c r="E22" t="s">
        <v>431</v>
      </c>
      <c r="F22" t="s">
        <v>521</v>
      </c>
      <c r="G22" t="s">
        <v>592</v>
      </c>
      <c r="H22" t="s">
        <v>680</v>
      </c>
    </row>
    <row r="23" spans="1:8" x14ac:dyDescent="0.2">
      <c r="A23" t="s">
        <v>49</v>
      </c>
      <c r="B23" t="s">
        <v>141</v>
      </c>
      <c r="C23" t="s">
        <v>249</v>
      </c>
      <c r="D23" t="s">
        <v>356</v>
      </c>
      <c r="E23" t="s">
        <v>432</v>
      </c>
      <c r="F23" t="s">
        <v>522</v>
      </c>
      <c r="G23" t="s">
        <v>593</v>
      </c>
      <c r="H23" t="s">
        <v>638</v>
      </c>
    </row>
    <row r="24" spans="1:8" x14ac:dyDescent="0.2">
      <c r="A24" t="s">
        <v>50</v>
      </c>
      <c r="B24" t="s">
        <v>142</v>
      </c>
      <c r="C24" t="s">
        <v>250</v>
      </c>
      <c r="D24" t="s">
        <v>357</v>
      </c>
      <c r="E24" t="s">
        <v>433</v>
      </c>
      <c r="F24" t="s">
        <v>523</v>
      </c>
      <c r="G24" t="s">
        <v>594</v>
      </c>
      <c r="H24" t="s">
        <v>639</v>
      </c>
    </row>
    <row r="25" spans="1:8" x14ac:dyDescent="0.2">
      <c r="A25" t="s">
        <v>51</v>
      </c>
      <c r="B25" t="s">
        <v>143</v>
      </c>
      <c r="C25" t="s">
        <v>251</v>
      </c>
      <c r="D25" t="s">
        <v>358</v>
      </c>
      <c r="E25" t="s">
        <v>434</v>
      </c>
      <c r="F25" t="s">
        <v>524</v>
      </c>
      <c r="G25" t="s">
        <v>595</v>
      </c>
      <c r="H25" t="s">
        <v>640</v>
      </c>
    </row>
    <row r="26" spans="1:8" x14ac:dyDescent="0.2">
      <c r="A26" t="s">
        <v>52</v>
      </c>
      <c r="B26" t="s">
        <v>146</v>
      </c>
      <c r="C26" t="s">
        <v>252</v>
      </c>
      <c r="D26" t="s">
        <v>359</v>
      </c>
      <c r="E26" t="s">
        <v>435</v>
      </c>
      <c r="F26" t="s">
        <v>525</v>
      </c>
      <c r="G26" t="s">
        <v>596</v>
      </c>
      <c r="H26" t="s">
        <v>641</v>
      </c>
    </row>
    <row r="27" spans="1:8" x14ac:dyDescent="0.2">
      <c r="A27" t="s">
        <v>53</v>
      </c>
      <c r="B27" t="s">
        <v>144</v>
      </c>
      <c r="C27" t="s">
        <v>253</v>
      </c>
      <c r="D27" t="s">
        <v>360</v>
      </c>
      <c r="E27" t="s">
        <v>436</v>
      </c>
      <c r="F27" t="s">
        <v>526</v>
      </c>
      <c r="G27" t="s">
        <v>597</v>
      </c>
      <c r="H27" t="s">
        <v>642</v>
      </c>
    </row>
    <row r="28" spans="1:8" x14ac:dyDescent="0.2">
      <c r="A28" t="s">
        <v>54</v>
      </c>
      <c r="B28" t="s">
        <v>145</v>
      </c>
      <c r="C28" t="s">
        <v>254</v>
      </c>
      <c r="D28" t="s">
        <v>361</v>
      </c>
      <c r="E28" t="s">
        <v>437</v>
      </c>
      <c r="F28" t="s">
        <v>527</v>
      </c>
      <c r="G28" t="s">
        <v>598</v>
      </c>
      <c r="H28" t="s">
        <v>643</v>
      </c>
    </row>
    <row r="29" spans="1:8" x14ac:dyDescent="0.2">
      <c r="A29" t="s">
        <v>55</v>
      </c>
      <c r="B29" t="s">
        <v>147</v>
      </c>
      <c r="C29" t="s">
        <v>255</v>
      </c>
      <c r="D29" t="s">
        <v>362</v>
      </c>
      <c r="E29" t="s">
        <v>438</v>
      </c>
      <c r="F29" t="s">
        <v>528</v>
      </c>
      <c r="G29" t="s">
        <v>599</v>
      </c>
      <c r="H29" t="s">
        <v>644</v>
      </c>
    </row>
    <row r="30" spans="1:8" x14ac:dyDescent="0.2">
      <c r="A30" t="s">
        <v>56</v>
      </c>
      <c r="B30" t="s">
        <v>148</v>
      </c>
      <c r="C30" t="s">
        <v>256</v>
      </c>
      <c r="D30" t="s">
        <v>363</v>
      </c>
      <c r="E30" t="s">
        <v>439</v>
      </c>
      <c r="F30" t="s">
        <v>529</v>
      </c>
      <c r="G30" t="s">
        <v>600</v>
      </c>
      <c r="H30" t="s">
        <v>645</v>
      </c>
    </row>
    <row r="31" spans="1:8" x14ac:dyDescent="0.2">
      <c r="A31" t="s">
        <v>57</v>
      </c>
      <c r="B31" t="s">
        <v>149</v>
      </c>
      <c r="C31" t="s">
        <v>257</v>
      </c>
      <c r="D31" t="s">
        <v>364</v>
      </c>
      <c r="E31" t="s">
        <v>440</v>
      </c>
      <c r="F31" t="s">
        <v>530</v>
      </c>
      <c r="G31" t="s">
        <v>601</v>
      </c>
      <c r="H31" t="s">
        <v>701</v>
      </c>
    </row>
    <row r="32" spans="1:8" x14ac:dyDescent="0.2">
      <c r="A32" t="s">
        <v>58</v>
      </c>
      <c r="B32" t="s">
        <v>150</v>
      </c>
      <c r="C32" t="s">
        <v>258</v>
      </c>
      <c r="D32" t="s">
        <v>365</v>
      </c>
      <c r="E32" t="s">
        <v>441</v>
      </c>
      <c r="F32" t="s">
        <v>531</v>
      </c>
      <c r="G32" t="s">
        <v>602</v>
      </c>
      <c r="H32" t="s">
        <v>646</v>
      </c>
    </row>
    <row r="33" spans="1:10" x14ac:dyDescent="0.2">
      <c r="A33" t="s">
        <v>59</v>
      </c>
      <c r="B33" t="s">
        <v>151</v>
      </c>
      <c r="C33" t="s">
        <v>259</v>
      </c>
      <c r="D33" t="s">
        <v>366</v>
      </c>
      <c r="E33" t="s">
        <v>442</v>
      </c>
      <c r="F33" t="s">
        <v>532</v>
      </c>
      <c r="G33" t="s">
        <v>603</v>
      </c>
      <c r="H33" t="s">
        <v>647</v>
      </c>
    </row>
    <row r="34" spans="1:10" x14ac:dyDescent="0.2">
      <c r="A34" t="s">
        <v>60</v>
      </c>
      <c r="B34" t="s">
        <v>152</v>
      </c>
      <c r="C34" t="s">
        <v>260</v>
      </c>
      <c r="D34" t="s">
        <v>367</v>
      </c>
      <c r="E34" t="s">
        <v>443</v>
      </c>
      <c r="F34" t="s">
        <v>533</v>
      </c>
      <c r="G34" t="s">
        <v>604</v>
      </c>
      <c r="H34" t="s">
        <v>648</v>
      </c>
    </row>
    <row r="35" spans="1:10" x14ac:dyDescent="0.2">
      <c r="A35" t="s">
        <v>61</v>
      </c>
      <c r="B35" t="s">
        <v>153</v>
      </c>
      <c r="C35" t="s">
        <v>261</v>
      </c>
      <c r="D35" t="s">
        <v>368</v>
      </c>
      <c r="E35" t="s">
        <v>444</v>
      </c>
      <c r="F35" t="s">
        <v>534</v>
      </c>
      <c r="G35" t="s">
        <v>605</v>
      </c>
      <c r="H35" t="s">
        <v>649</v>
      </c>
    </row>
    <row r="36" spans="1:10" x14ac:dyDescent="0.2">
      <c r="A36" t="s">
        <v>62</v>
      </c>
      <c r="B36" t="s">
        <v>154</v>
      </c>
      <c r="C36" t="s">
        <v>262</v>
      </c>
      <c r="D36" t="s">
        <v>369</v>
      </c>
      <c r="E36" t="s">
        <v>445</v>
      </c>
      <c r="F36" t="s">
        <v>535</v>
      </c>
      <c r="G36" t="s">
        <v>606</v>
      </c>
      <c r="H36" t="s">
        <v>650</v>
      </c>
      <c r="J36" s="30"/>
    </row>
    <row r="37" spans="1:10" x14ac:dyDescent="0.2">
      <c r="A37" t="s">
        <v>63</v>
      </c>
      <c r="B37" t="s">
        <v>155</v>
      </c>
      <c r="C37" t="s">
        <v>263</v>
      </c>
      <c r="D37" t="s">
        <v>370</v>
      </c>
      <c r="E37" t="s">
        <v>446</v>
      </c>
      <c r="F37" t="s">
        <v>536</v>
      </c>
      <c r="G37" t="s">
        <v>607</v>
      </c>
      <c r="H37" t="s">
        <v>651</v>
      </c>
    </row>
    <row r="38" spans="1:10" x14ac:dyDescent="0.2">
      <c r="A38" t="s">
        <v>64</v>
      </c>
      <c r="B38" t="s">
        <v>156</v>
      </c>
      <c r="C38" t="s">
        <v>264</v>
      </c>
      <c r="D38" t="s">
        <v>371</v>
      </c>
      <c r="E38" t="s">
        <v>447</v>
      </c>
      <c r="F38" t="s">
        <v>537</v>
      </c>
      <c r="G38" t="s">
        <v>608</v>
      </c>
      <c r="H38" t="s">
        <v>652</v>
      </c>
    </row>
    <row r="39" spans="1:10" x14ac:dyDescent="0.2">
      <c r="A39" t="s">
        <v>65</v>
      </c>
      <c r="B39" t="s">
        <v>157</v>
      </c>
      <c r="C39" t="s">
        <v>265</v>
      </c>
      <c r="D39" t="s">
        <v>372</v>
      </c>
      <c r="E39" t="s">
        <v>448</v>
      </c>
      <c r="F39" t="s">
        <v>538</v>
      </c>
      <c r="G39" t="s">
        <v>609</v>
      </c>
      <c r="H39" t="s">
        <v>653</v>
      </c>
    </row>
    <row r="40" spans="1:10" x14ac:dyDescent="0.2">
      <c r="A40" t="s">
        <v>66</v>
      </c>
      <c r="B40" t="s">
        <v>158</v>
      </c>
      <c r="C40" t="s">
        <v>266</v>
      </c>
      <c r="D40" t="s">
        <v>373</v>
      </c>
      <c r="E40" t="s">
        <v>449</v>
      </c>
      <c r="F40" t="s">
        <v>539</v>
      </c>
      <c r="G40" t="s">
        <v>610</v>
      </c>
      <c r="H40" t="s">
        <v>654</v>
      </c>
    </row>
    <row r="41" spans="1:10" x14ac:dyDescent="0.2">
      <c r="A41" t="s">
        <v>67</v>
      </c>
      <c r="B41" t="s">
        <v>159</v>
      </c>
      <c r="C41" t="s">
        <v>267</v>
      </c>
      <c r="D41" t="s">
        <v>374</v>
      </c>
      <c r="E41" t="s">
        <v>450</v>
      </c>
      <c r="F41" t="s">
        <v>540</v>
      </c>
      <c r="G41" t="s">
        <v>611</v>
      </c>
      <c r="H41" t="s">
        <v>655</v>
      </c>
    </row>
    <row r="42" spans="1:10" x14ac:dyDescent="0.2">
      <c r="A42" t="s">
        <v>68</v>
      </c>
      <c r="B42" t="s">
        <v>160</v>
      </c>
      <c r="C42" t="s">
        <v>268</v>
      </c>
      <c r="D42" t="s">
        <v>375</v>
      </c>
      <c r="E42" t="s">
        <v>451</v>
      </c>
      <c r="F42" t="s">
        <v>541</v>
      </c>
      <c r="G42" t="s">
        <v>612</v>
      </c>
      <c r="H42" t="s">
        <v>656</v>
      </c>
    </row>
    <row r="43" spans="1:10" x14ac:dyDescent="0.2">
      <c r="A43" t="s">
        <v>69</v>
      </c>
      <c r="B43" t="s">
        <v>161</v>
      </c>
      <c r="C43" t="s">
        <v>269</v>
      </c>
      <c r="D43" t="s">
        <v>376</v>
      </c>
      <c r="E43" t="s">
        <v>452</v>
      </c>
      <c r="F43" t="s">
        <v>542</v>
      </c>
      <c r="G43" t="s">
        <v>613</v>
      </c>
      <c r="H43" t="s">
        <v>657</v>
      </c>
    </row>
    <row r="44" spans="1:10" x14ac:dyDescent="0.2">
      <c r="A44" t="s">
        <v>70</v>
      </c>
      <c r="B44" t="s">
        <v>162</v>
      </c>
      <c r="C44" t="s">
        <v>270</v>
      </c>
      <c r="D44" t="s">
        <v>377</v>
      </c>
      <c r="E44" t="s">
        <v>453</v>
      </c>
      <c r="F44" t="s">
        <v>543</v>
      </c>
      <c r="G44" t="s">
        <v>614</v>
      </c>
      <c r="H44" t="s">
        <v>658</v>
      </c>
    </row>
    <row r="45" spans="1:10" x14ac:dyDescent="0.2">
      <c r="A45" t="s">
        <v>71</v>
      </c>
      <c r="B45" t="s">
        <v>163</v>
      </c>
      <c r="C45" t="s">
        <v>271</v>
      </c>
      <c r="D45" t="s">
        <v>378</v>
      </c>
      <c r="E45" t="s">
        <v>454</v>
      </c>
      <c r="F45" t="s">
        <v>544</v>
      </c>
      <c r="G45" t="s">
        <v>615</v>
      </c>
      <c r="H45" t="s">
        <v>659</v>
      </c>
    </row>
    <row r="46" spans="1:10" x14ac:dyDescent="0.2">
      <c r="A46" t="s">
        <v>72</v>
      </c>
      <c r="B46" t="s">
        <v>164</v>
      </c>
      <c r="C46" t="s">
        <v>272</v>
      </c>
      <c r="D46" t="s">
        <v>379</v>
      </c>
      <c r="E46" t="s">
        <v>455</v>
      </c>
      <c r="F46" t="s">
        <v>545</v>
      </c>
      <c r="G46" t="s">
        <v>616</v>
      </c>
      <c r="H46" t="s">
        <v>660</v>
      </c>
    </row>
    <row r="47" spans="1:10" x14ac:dyDescent="0.2">
      <c r="A47" t="s">
        <v>73</v>
      </c>
      <c r="B47" t="s">
        <v>165</v>
      </c>
      <c r="C47" t="s">
        <v>273</v>
      </c>
      <c r="D47" t="s">
        <v>380</v>
      </c>
      <c r="E47" t="s">
        <v>456</v>
      </c>
      <c r="F47" t="s">
        <v>546</v>
      </c>
      <c r="G47" t="s">
        <v>617</v>
      </c>
      <c r="H47" t="s">
        <v>661</v>
      </c>
    </row>
    <row r="48" spans="1:10" x14ac:dyDescent="0.2">
      <c r="A48" t="s">
        <v>74</v>
      </c>
      <c r="B48" t="s">
        <v>166</v>
      </c>
      <c r="C48" t="s">
        <v>274</v>
      </c>
      <c r="D48" t="s">
        <v>381</v>
      </c>
      <c r="E48" t="s">
        <v>457</v>
      </c>
      <c r="F48" t="s">
        <v>547</v>
      </c>
      <c r="G48" t="s">
        <v>618</v>
      </c>
      <c r="H48" t="s">
        <v>662</v>
      </c>
    </row>
    <row r="49" spans="1:8" x14ac:dyDescent="0.2">
      <c r="A49" t="s">
        <v>75</v>
      </c>
      <c r="B49" t="s">
        <v>167</v>
      </c>
      <c r="C49" t="s">
        <v>275</v>
      </c>
      <c r="D49" t="s">
        <v>382</v>
      </c>
      <c r="E49" t="s">
        <v>458</v>
      </c>
      <c r="F49" t="s">
        <v>548</v>
      </c>
      <c r="H49" t="s">
        <v>663</v>
      </c>
    </row>
    <row r="50" spans="1:8" x14ac:dyDescent="0.2">
      <c r="A50" t="s">
        <v>76</v>
      </c>
      <c r="B50" t="s">
        <v>168</v>
      </c>
      <c r="C50" t="s">
        <v>276</v>
      </c>
      <c r="D50" t="s">
        <v>383</v>
      </c>
      <c r="E50" t="s">
        <v>459</v>
      </c>
      <c r="F50" t="s">
        <v>549</v>
      </c>
      <c r="H50" t="s">
        <v>664</v>
      </c>
    </row>
    <row r="51" spans="1:8" x14ac:dyDescent="0.2">
      <c r="A51" t="s">
        <v>77</v>
      </c>
      <c r="B51" t="s">
        <v>169</v>
      </c>
      <c r="C51" t="s">
        <v>277</v>
      </c>
      <c r="D51" t="s">
        <v>384</v>
      </c>
      <c r="E51" t="s">
        <v>460</v>
      </c>
      <c r="F51" t="s">
        <v>550</v>
      </c>
      <c r="H51" t="s">
        <v>665</v>
      </c>
    </row>
    <row r="52" spans="1:8" x14ac:dyDescent="0.2">
      <c r="A52" t="s">
        <v>78</v>
      </c>
      <c r="B52" t="s">
        <v>170</v>
      </c>
      <c r="C52" t="s">
        <v>278</v>
      </c>
      <c r="D52" t="s">
        <v>385</v>
      </c>
      <c r="E52" t="s">
        <v>461</v>
      </c>
      <c r="F52" t="s">
        <v>551</v>
      </c>
      <c r="H52" t="s">
        <v>666</v>
      </c>
    </row>
    <row r="53" spans="1:8" x14ac:dyDescent="0.2">
      <c r="A53" t="s">
        <v>79</v>
      </c>
      <c r="B53" t="s">
        <v>171</v>
      </c>
      <c r="C53" t="s">
        <v>279</v>
      </c>
      <c r="D53" t="s">
        <v>386</v>
      </c>
      <c r="E53" t="s">
        <v>462</v>
      </c>
      <c r="F53" t="s">
        <v>552</v>
      </c>
      <c r="H53" t="s">
        <v>667</v>
      </c>
    </row>
    <row r="54" spans="1:8" x14ac:dyDescent="0.2">
      <c r="A54" t="s">
        <v>80</v>
      </c>
      <c r="B54" t="s">
        <v>172</v>
      </c>
      <c r="C54" t="s">
        <v>280</v>
      </c>
      <c r="D54" t="s">
        <v>387</v>
      </c>
      <c r="E54" t="s">
        <v>463</v>
      </c>
      <c r="F54" t="s">
        <v>553</v>
      </c>
      <c r="H54" t="s">
        <v>668</v>
      </c>
    </row>
    <row r="55" spans="1:8" x14ac:dyDescent="0.2">
      <c r="A55" t="s">
        <v>81</v>
      </c>
      <c r="B55" t="s">
        <v>173</v>
      </c>
      <c r="C55" t="s">
        <v>281</v>
      </c>
      <c r="D55" t="s">
        <v>688</v>
      </c>
      <c r="E55" t="s">
        <v>464</v>
      </c>
      <c r="F55" t="s">
        <v>554</v>
      </c>
      <c r="H55" t="s">
        <v>669</v>
      </c>
    </row>
    <row r="56" spans="1:8" x14ac:dyDescent="0.2">
      <c r="A56" t="s">
        <v>82</v>
      </c>
      <c r="B56" t="s">
        <v>174</v>
      </c>
      <c r="C56" t="s">
        <v>282</v>
      </c>
      <c r="D56" t="s">
        <v>689</v>
      </c>
      <c r="E56" t="s">
        <v>465</v>
      </c>
      <c r="F56" t="s">
        <v>555</v>
      </c>
      <c r="H56" t="s">
        <v>670</v>
      </c>
    </row>
    <row r="57" spans="1:8" x14ac:dyDescent="0.2">
      <c r="A57" t="s">
        <v>83</v>
      </c>
      <c r="B57" t="s">
        <v>175</v>
      </c>
      <c r="C57" t="s">
        <v>283</v>
      </c>
      <c r="D57" t="s">
        <v>388</v>
      </c>
      <c r="E57" t="s">
        <v>466</v>
      </c>
      <c r="F57" t="s">
        <v>556</v>
      </c>
    </row>
    <row r="58" spans="1:8" x14ac:dyDescent="0.2">
      <c r="A58" t="s">
        <v>84</v>
      </c>
      <c r="B58" t="s">
        <v>176</v>
      </c>
      <c r="C58" t="s">
        <v>284</v>
      </c>
      <c r="D58" t="s">
        <v>389</v>
      </c>
      <c r="E58" t="s">
        <v>467</v>
      </c>
      <c r="F58" t="s">
        <v>557</v>
      </c>
    </row>
    <row r="59" spans="1:8" x14ac:dyDescent="0.2">
      <c r="A59" t="s">
        <v>85</v>
      </c>
      <c r="B59" t="s">
        <v>177</v>
      </c>
      <c r="C59" t="s">
        <v>285</v>
      </c>
      <c r="D59" t="s">
        <v>390</v>
      </c>
      <c r="E59" t="s">
        <v>468</v>
      </c>
      <c r="F59" t="s">
        <v>558</v>
      </c>
    </row>
    <row r="60" spans="1:8" x14ac:dyDescent="0.2">
      <c r="A60" t="s">
        <v>86</v>
      </c>
      <c r="B60" t="s">
        <v>178</v>
      </c>
      <c r="C60" t="s">
        <v>286</v>
      </c>
      <c r="D60" t="s">
        <v>391</v>
      </c>
      <c r="E60" t="s">
        <v>469</v>
      </c>
      <c r="F60" t="s">
        <v>559</v>
      </c>
    </row>
    <row r="61" spans="1:8" x14ac:dyDescent="0.2">
      <c r="A61" t="s">
        <v>87</v>
      </c>
      <c r="B61" t="s">
        <v>179</v>
      </c>
      <c r="C61" t="s">
        <v>287</v>
      </c>
      <c r="D61" t="s">
        <v>392</v>
      </c>
      <c r="E61" t="s">
        <v>470</v>
      </c>
      <c r="F61" t="s">
        <v>560</v>
      </c>
    </row>
    <row r="62" spans="1:8" x14ac:dyDescent="0.2">
      <c r="A62" t="s">
        <v>88</v>
      </c>
      <c r="B62" t="s">
        <v>180</v>
      </c>
      <c r="C62" t="s">
        <v>288</v>
      </c>
      <c r="D62" t="s">
        <v>393</v>
      </c>
      <c r="E62" t="s">
        <v>471</v>
      </c>
      <c r="F62" t="s">
        <v>561</v>
      </c>
    </row>
    <row r="63" spans="1:8" x14ac:dyDescent="0.2">
      <c r="A63" t="s">
        <v>89</v>
      </c>
      <c r="B63" t="s">
        <v>181</v>
      </c>
      <c r="C63" t="s">
        <v>289</v>
      </c>
      <c r="D63" t="s">
        <v>394</v>
      </c>
      <c r="E63" t="s">
        <v>472</v>
      </c>
      <c r="F63" t="s">
        <v>562</v>
      </c>
    </row>
    <row r="64" spans="1:8" x14ac:dyDescent="0.2">
      <c r="A64" t="s">
        <v>90</v>
      </c>
      <c r="B64" t="s">
        <v>182</v>
      </c>
      <c r="C64" t="s">
        <v>290</v>
      </c>
      <c r="D64" t="s">
        <v>395</v>
      </c>
      <c r="E64" t="s">
        <v>473</v>
      </c>
      <c r="F64" t="s">
        <v>563</v>
      </c>
    </row>
    <row r="65" spans="1:6" x14ac:dyDescent="0.2">
      <c r="A65" t="s">
        <v>91</v>
      </c>
      <c r="B65" t="s">
        <v>183</v>
      </c>
      <c r="C65" t="s">
        <v>291</v>
      </c>
      <c r="D65" t="s">
        <v>396</v>
      </c>
      <c r="E65" t="s">
        <v>474</v>
      </c>
      <c r="F65" t="s">
        <v>564</v>
      </c>
    </row>
    <row r="66" spans="1:6" x14ac:dyDescent="0.2">
      <c r="A66" t="s">
        <v>92</v>
      </c>
      <c r="B66" t="s">
        <v>184</v>
      </c>
      <c r="C66" t="s">
        <v>292</v>
      </c>
      <c r="D66" t="s">
        <v>397</v>
      </c>
      <c r="E66" t="s">
        <v>475</v>
      </c>
      <c r="F66" t="s">
        <v>565</v>
      </c>
    </row>
    <row r="67" spans="1:6" x14ac:dyDescent="0.2">
      <c r="A67" t="s">
        <v>93</v>
      </c>
      <c r="B67" t="s">
        <v>185</v>
      </c>
      <c r="C67" t="s">
        <v>293</v>
      </c>
      <c r="D67" t="s">
        <v>398</v>
      </c>
      <c r="E67" t="s">
        <v>476</v>
      </c>
      <c r="F67" t="s">
        <v>566</v>
      </c>
    </row>
    <row r="68" spans="1:6" x14ac:dyDescent="0.2">
      <c r="A68" t="s">
        <v>681</v>
      </c>
      <c r="B68" t="s">
        <v>186</v>
      </c>
      <c r="C68" t="s">
        <v>294</v>
      </c>
      <c r="D68" t="s">
        <v>399</v>
      </c>
      <c r="E68" t="s">
        <v>477</v>
      </c>
      <c r="F68" t="s">
        <v>567</v>
      </c>
    </row>
    <row r="69" spans="1:6" x14ac:dyDescent="0.2">
      <c r="A69" t="s">
        <v>94</v>
      </c>
      <c r="B69" t="s">
        <v>187</v>
      </c>
      <c r="C69" t="s">
        <v>295</v>
      </c>
      <c r="D69" t="s">
        <v>400</v>
      </c>
      <c r="E69" t="s">
        <v>478</v>
      </c>
      <c r="F69" t="s">
        <v>568</v>
      </c>
    </row>
    <row r="70" spans="1:6" x14ac:dyDescent="0.2">
      <c r="A70" t="s">
        <v>95</v>
      </c>
      <c r="B70" t="s">
        <v>188</v>
      </c>
      <c r="C70" t="s">
        <v>296</v>
      </c>
      <c r="D70" t="s">
        <v>401</v>
      </c>
      <c r="E70" t="s">
        <v>479</v>
      </c>
      <c r="F70" t="s">
        <v>569</v>
      </c>
    </row>
    <row r="71" spans="1:6" x14ac:dyDescent="0.2">
      <c r="A71" t="s">
        <v>96</v>
      </c>
      <c r="B71" t="s">
        <v>189</v>
      </c>
      <c r="C71" t="s">
        <v>297</v>
      </c>
      <c r="D71" t="s">
        <v>683</v>
      </c>
      <c r="E71" t="s">
        <v>480</v>
      </c>
      <c r="F71" t="s">
        <v>570</v>
      </c>
    </row>
    <row r="72" spans="1:6" x14ac:dyDescent="0.2">
      <c r="A72" t="s">
        <v>97</v>
      </c>
      <c r="B72" t="s">
        <v>190</v>
      </c>
      <c r="C72" t="s">
        <v>298</v>
      </c>
      <c r="D72" t="s">
        <v>402</v>
      </c>
      <c r="E72" t="s">
        <v>481</v>
      </c>
      <c r="F72" t="s">
        <v>571</v>
      </c>
    </row>
    <row r="73" spans="1:6" x14ac:dyDescent="0.2">
      <c r="A73" t="s">
        <v>98</v>
      </c>
      <c r="B73" t="s">
        <v>191</v>
      </c>
      <c r="C73" t="s">
        <v>299</v>
      </c>
      <c r="D73" t="s">
        <v>403</v>
      </c>
      <c r="E73" t="s">
        <v>482</v>
      </c>
      <c r="F73" t="s">
        <v>572</v>
      </c>
    </row>
    <row r="74" spans="1:6" x14ac:dyDescent="0.2">
      <c r="A74" t="s">
        <v>99</v>
      </c>
      <c r="B74" t="s">
        <v>192</v>
      </c>
      <c r="C74" t="s">
        <v>300</v>
      </c>
      <c r="D74" t="s">
        <v>404</v>
      </c>
      <c r="E74" t="s">
        <v>483</v>
      </c>
      <c r="F74" t="s">
        <v>573</v>
      </c>
    </row>
    <row r="75" spans="1:6" x14ac:dyDescent="0.2">
      <c r="A75" t="s">
        <v>100</v>
      </c>
      <c r="B75" t="s">
        <v>193</v>
      </c>
      <c r="C75" t="s">
        <v>301</v>
      </c>
      <c r="D75" t="s">
        <v>405</v>
      </c>
      <c r="E75" t="s">
        <v>484</v>
      </c>
      <c r="F75" t="s">
        <v>574</v>
      </c>
    </row>
    <row r="76" spans="1:6" x14ac:dyDescent="0.2">
      <c r="A76" t="s">
        <v>101</v>
      </c>
      <c r="B76" t="s">
        <v>194</v>
      </c>
      <c r="C76" t="s">
        <v>302</v>
      </c>
      <c r="D76" t="s">
        <v>690</v>
      </c>
      <c r="E76" t="s">
        <v>485</v>
      </c>
    </row>
    <row r="77" spans="1:6" x14ac:dyDescent="0.2">
      <c r="A77" t="s">
        <v>102</v>
      </c>
      <c r="B77" t="s">
        <v>195</v>
      </c>
      <c r="C77" t="s">
        <v>303</v>
      </c>
      <c r="D77" t="s">
        <v>406</v>
      </c>
      <c r="E77" t="s">
        <v>486</v>
      </c>
    </row>
    <row r="78" spans="1:6" x14ac:dyDescent="0.2">
      <c r="A78" t="s">
        <v>103</v>
      </c>
      <c r="B78" t="s">
        <v>196</v>
      </c>
      <c r="C78" t="s">
        <v>304</v>
      </c>
      <c r="D78" t="s">
        <v>407</v>
      </c>
      <c r="E78" t="s">
        <v>487</v>
      </c>
    </row>
    <row r="79" spans="1:6" x14ac:dyDescent="0.2">
      <c r="A79" t="s">
        <v>104</v>
      </c>
      <c r="B79" t="s">
        <v>197</v>
      </c>
      <c r="C79" t="s">
        <v>305</v>
      </c>
      <c r="D79" t="s">
        <v>408</v>
      </c>
      <c r="E79" t="s">
        <v>488</v>
      </c>
    </row>
    <row r="80" spans="1:6" x14ac:dyDescent="0.2">
      <c r="A80" t="s">
        <v>105</v>
      </c>
      <c r="B80" t="s">
        <v>198</v>
      </c>
      <c r="C80" t="s">
        <v>306</v>
      </c>
      <c r="D80" t="s">
        <v>409</v>
      </c>
      <c r="E80" t="s">
        <v>489</v>
      </c>
    </row>
    <row r="81" spans="1:5" x14ac:dyDescent="0.2">
      <c r="A81" t="s">
        <v>106</v>
      </c>
      <c r="B81" t="s">
        <v>199</v>
      </c>
      <c r="C81" t="s">
        <v>307</v>
      </c>
      <c r="E81" t="s">
        <v>490</v>
      </c>
    </row>
    <row r="82" spans="1:5" x14ac:dyDescent="0.2">
      <c r="A82" t="s">
        <v>107</v>
      </c>
      <c r="B82" t="s">
        <v>200</v>
      </c>
      <c r="C82" t="s">
        <v>308</v>
      </c>
      <c r="E82" t="s">
        <v>695</v>
      </c>
    </row>
    <row r="83" spans="1:5" x14ac:dyDescent="0.2">
      <c r="A83" t="s">
        <v>108</v>
      </c>
      <c r="B83" t="s">
        <v>201</v>
      </c>
      <c r="C83" t="s">
        <v>309</v>
      </c>
      <c r="E83" t="s">
        <v>696</v>
      </c>
    </row>
    <row r="84" spans="1:5" x14ac:dyDescent="0.2">
      <c r="A84" t="s">
        <v>109</v>
      </c>
      <c r="B84" t="s">
        <v>202</v>
      </c>
      <c r="C84" t="s">
        <v>310</v>
      </c>
      <c r="E84" t="s">
        <v>491</v>
      </c>
    </row>
    <row r="85" spans="1:5" x14ac:dyDescent="0.2">
      <c r="A85" t="s">
        <v>110</v>
      </c>
      <c r="B85" t="s">
        <v>203</v>
      </c>
      <c r="C85" t="s">
        <v>311</v>
      </c>
      <c r="E85" t="s">
        <v>492</v>
      </c>
    </row>
    <row r="86" spans="1:5" x14ac:dyDescent="0.2">
      <c r="A86" t="s">
        <v>111</v>
      </c>
      <c r="B86" t="s">
        <v>204</v>
      </c>
      <c r="C86" t="s">
        <v>312</v>
      </c>
      <c r="E86" t="s">
        <v>493</v>
      </c>
    </row>
    <row r="87" spans="1:5" x14ac:dyDescent="0.2">
      <c r="A87" t="s">
        <v>112</v>
      </c>
      <c r="B87" t="s">
        <v>205</v>
      </c>
      <c r="C87" t="s">
        <v>313</v>
      </c>
      <c r="E87" t="s">
        <v>494</v>
      </c>
    </row>
    <row r="88" spans="1:5" x14ac:dyDescent="0.2">
      <c r="A88" t="s">
        <v>113</v>
      </c>
      <c r="B88" t="s">
        <v>206</v>
      </c>
      <c r="C88" t="s">
        <v>314</v>
      </c>
      <c r="E88" t="s">
        <v>495</v>
      </c>
    </row>
    <row r="89" spans="1:5" x14ac:dyDescent="0.2">
      <c r="A89" t="s">
        <v>114</v>
      </c>
      <c r="B89" t="s">
        <v>207</v>
      </c>
      <c r="C89" t="s">
        <v>315</v>
      </c>
      <c r="E89" t="s">
        <v>496</v>
      </c>
    </row>
    <row r="90" spans="1:5" x14ac:dyDescent="0.2">
      <c r="A90" t="s">
        <v>115</v>
      </c>
      <c r="B90" t="s">
        <v>208</v>
      </c>
      <c r="C90" t="s">
        <v>316</v>
      </c>
      <c r="E90" t="s">
        <v>497</v>
      </c>
    </row>
    <row r="91" spans="1:5" x14ac:dyDescent="0.2">
      <c r="A91" t="s">
        <v>116</v>
      </c>
      <c r="B91" t="s">
        <v>209</v>
      </c>
      <c r="C91" t="s">
        <v>317</v>
      </c>
      <c r="E91" t="s">
        <v>498</v>
      </c>
    </row>
    <row r="92" spans="1:5" x14ac:dyDescent="0.2">
      <c r="A92" t="s">
        <v>117</v>
      </c>
      <c r="B92" t="s">
        <v>210</v>
      </c>
      <c r="C92" t="s">
        <v>687</v>
      </c>
      <c r="E92" t="s">
        <v>499</v>
      </c>
    </row>
    <row r="93" spans="1:5" x14ac:dyDescent="0.2">
      <c r="A93" t="s">
        <v>118</v>
      </c>
      <c r="B93" t="s">
        <v>211</v>
      </c>
      <c r="C93" t="s">
        <v>318</v>
      </c>
    </row>
    <row r="94" spans="1:5" x14ac:dyDescent="0.2">
      <c r="A94" t="s">
        <v>119</v>
      </c>
      <c r="B94" t="s">
        <v>212</v>
      </c>
      <c r="C94" t="s">
        <v>319</v>
      </c>
    </row>
    <row r="95" spans="1:5" x14ac:dyDescent="0.2">
      <c r="A95" t="s">
        <v>120</v>
      </c>
      <c r="B95" t="s">
        <v>213</v>
      </c>
      <c r="C95" t="s">
        <v>320</v>
      </c>
    </row>
    <row r="96" spans="1:5" x14ac:dyDescent="0.2">
      <c r="B96" t="s">
        <v>214</v>
      </c>
      <c r="C96" t="s">
        <v>682</v>
      </c>
    </row>
    <row r="97" spans="2:3" x14ac:dyDescent="0.2">
      <c r="B97" t="s">
        <v>215</v>
      </c>
      <c r="C97" t="s">
        <v>321</v>
      </c>
    </row>
    <row r="98" spans="2:3" x14ac:dyDescent="0.2">
      <c r="B98" t="s">
        <v>216</v>
      </c>
      <c r="C98" t="s">
        <v>322</v>
      </c>
    </row>
    <row r="99" spans="2:3" x14ac:dyDescent="0.2">
      <c r="B99" t="s">
        <v>217</v>
      </c>
      <c r="C99" t="s">
        <v>323</v>
      </c>
    </row>
    <row r="100" spans="2:3" x14ac:dyDescent="0.2">
      <c r="B100" t="s">
        <v>218</v>
      </c>
      <c r="C100" t="s">
        <v>324</v>
      </c>
    </row>
    <row r="101" spans="2:3" x14ac:dyDescent="0.2">
      <c r="B101" t="s">
        <v>219</v>
      </c>
      <c r="C101" t="s">
        <v>325</v>
      </c>
    </row>
    <row r="102" spans="2:3" x14ac:dyDescent="0.2">
      <c r="B102" t="s">
        <v>220</v>
      </c>
      <c r="C102" t="s">
        <v>326</v>
      </c>
    </row>
    <row r="103" spans="2:3" x14ac:dyDescent="0.2">
      <c r="B103" t="s">
        <v>221</v>
      </c>
      <c r="C103" t="s">
        <v>327</v>
      </c>
    </row>
    <row r="104" spans="2:3" x14ac:dyDescent="0.2">
      <c r="B104" t="s">
        <v>222</v>
      </c>
      <c r="C104" t="s">
        <v>328</v>
      </c>
    </row>
    <row r="105" spans="2:3" x14ac:dyDescent="0.2">
      <c r="B105" t="s">
        <v>223</v>
      </c>
      <c r="C105" t="s">
        <v>329</v>
      </c>
    </row>
    <row r="106" spans="2:3" x14ac:dyDescent="0.2">
      <c r="B106" t="s">
        <v>224</v>
      </c>
      <c r="C106" t="s">
        <v>330</v>
      </c>
    </row>
    <row r="107" spans="2:3" x14ac:dyDescent="0.2">
      <c r="B107" t="s">
        <v>225</v>
      </c>
      <c r="C107" t="s">
        <v>331</v>
      </c>
    </row>
    <row r="108" spans="2:3" x14ac:dyDescent="0.2">
      <c r="B108" t="s">
        <v>226</v>
      </c>
      <c r="C108" t="s">
        <v>332</v>
      </c>
    </row>
    <row r="109" spans="2:3" x14ac:dyDescent="0.2">
      <c r="C109" t="s">
        <v>691</v>
      </c>
    </row>
    <row r="110" spans="2:3" x14ac:dyDescent="0.2">
      <c r="C110" t="s">
        <v>333</v>
      </c>
    </row>
    <row r="111" spans="2:3" x14ac:dyDescent="0.2">
      <c r="C111" t="s">
        <v>334</v>
      </c>
    </row>
    <row r="112" spans="2:3" x14ac:dyDescent="0.2">
      <c r="C112" t="s">
        <v>335</v>
      </c>
    </row>
    <row r="113" spans="3:3" x14ac:dyDescent="0.2">
      <c r="C113" t="s">
        <v>336</v>
      </c>
    </row>
  </sheetData>
  <conditionalFormatting sqref="AC1:AC1048576">
    <cfRule type="duplicateValues" dxfId="113" priority="2"/>
  </conditionalFormatting>
  <conditionalFormatting sqref="S1:S1048576">
    <cfRule type="duplicateValues" dxfId="112" priority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6</v>
      </c>
      <c r="C2" s="15">
        <f>IF(ISERROR(VALUE(TRIM(CLEAN(MID(C20,FIND("(",C20)+1,FIND("/",C20,1)-FIND("(",C20)-1))))),0,VALUE(TRIM(CLEAN(MID(C20,FIND("(",C20)+1,FIND("/",C20,1)-FIND("(",C20)-1)))))</f>
        <v>6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30</v>
      </c>
      <c r="C4" s="16">
        <f>IF(ISERROR(VALUE(TRIM(CLEAN(MID(C23,FIND("(",C23)+1,FIND("/",C23,1)-FIND("(",C23)-1))))),0,VALUE(TRIM(CLEAN(MID(C23,FIND("(",C23)+1,FIND("/",C23,1)-FIND("(",C23)-1)))))</f>
        <v>30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15</v>
      </c>
      <c r="C5" s="16">
        <f>IF(ISERROR(VALUE(TRIM(CLEAN(MID(C24,FIND("(",C24)+1,FIND("/",C24,1)-FIND("(",C24)-1))))),0,VALUE(TRIM(CLEAN(MID(C24,FIND("(",C24)+1,FIND("/",C24,1)-FIND("(",C24)-1)))))</f>
        <v>15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51</v>
      </c>
      <c r="C7" s="17">
        <f>SUM(C2:C5)</f>
        <v>51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702</v>
      </c>
    </row>
    <row r="20" spans="1:8" x14ac:dyDescent="0.2">
      <c r="C20" s="5" t="s">
        <v>703</v>
      </c>
    </row>
    <row r="21" spans="1:8" x14ac:dyDescent="0.2">
      <c r="C21" s="5" t="s">
        <v>704</v>
      </c>
    </row>
    <row r="22" spans="1:8" x14ac:dyDescent="0.2">
      <c r="C22" s="5" t="s">
        <v>705</v>
      </c>
    </row>
    <row r="23" spans="1:8" x14ac:dyDescent="0.2">
      <c r="C23" s="5" t="s">
        <v>706</v>
      </c>
    </row>
    <row r="24" spans="1:8" x14ac:dyDescent="0.2">
      <c r="C24" s="5" t="s">
        <v>707</v>
      </c>
    </row>
    <row r="25" spans="1:8" x14ac:dyDescent="0.2">
      <c r="B25" s="5" t="s">
        <v>708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713</v>
      </c>
    </row>
    <row r="32" spans="1:8" x14ac:dyDescent="0.2">
      <c r="D32" s="5" t="s">
        <v>714</v>
      </c>
    </row>
    <row r="33" spans="4:4" x14ac:dyDescent="0.2">
      <c r="D33" s="5" t="s">
        <v>704</v>
      </c>
    </row>
    <row r="34" spans="4:4" x14ac:dyDescent="0.2">
      <c r="D34" s="5" t="s">
        <v>715</v>
      </c>
    </row>
    <row r="35" spans="4:4" x14ac:dyDescent="0.2">
      <c r="D35" s="5" t="s">
        <v>706</v>
      </c>
    </row>
    <row r="36" spans="4:4" x14ac:dyDescent="0.2">
      <c r="D36" s="5" t="s">
        <v>707</v>
      </c>
    </row>
  </sheetData>
  <autoFilter ref="A18:H18"/>
  <conditionalFormatting sqref="C17">
    <cfRule type="cellIs" dxfId="111" priority="1" stopIfTrue="1" operator="equal">
      <formula>$B$10</formula>
    </cfRule>
    <cfRule type="cellIs" dxfId="11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11"/>
  </sheetPr>
  <dimension ref="A1:H44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29</v>
      </c>
      <c r="C2" s="15">
        <f>IF(ISERROR(VALUE(TRIM(CLEAN(MID(C20,FIND("(",C20)+1,FIND("/",C20,1)-FIND("(",C20)-1))))),0,VALUE(TRIM(CLEAN(MID(C20,FIND("(",C20)+1,FIND("/",C20,1)-FIND("(",C20)-1)))))</f>
        <v>28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31</v>
      </c>
      <c r="C4" s="16">
        <f>IF(ISERROR(VALUE(TRIM(CLEAN(MID(C23,FIND("(",C23)+1,FIND("/",C23,1)-FIND("(",C23)-1))))),0,VALUE(TRIM(CLEAN(MID(C23,FIND("(",C23)+1,FIND("/",C23,1)-FIND("(",C23)-1)))))</f>
        <v>30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</v>
      </c>
      <c r="C5" s="16">
        <f>IF(ISERROR(VALUE(TRIM(CLEAN(MID(C24,FIND("(",C24)+1,FIND("/",C24,1)-FIND("(",C24)-1))))),0,VALUE(TRIM(CLEAN(MID(C24,FIND("(",C24)+1,FIND("/",C24,1)-FIND("(",C24)-1)))))</f>
        <v>2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63</v>
      </c>
      <c r="C7" s="17">
        <f>SUM(C2:C5)</f>
        <v>61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2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2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2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717</v>
      </c>
    </row>
    <row r="20" spans="1:8" x14ac:dyDescent="0.2">
      <c r="C20" s="5" t="s">
        <v>718</v>
      </c>
    </row>
    <row r="21" spans="1:8" x14ac:dyDescent="0.2">
      <c r="C21" s="5" t="s">
        <v>719</v>
      </c>
    </row>
    <row r="22" spans="1:8" x14ac:dyDescent="0.2">
      <c r="C22" s="5" t="s">
        <v>720</v>
      </c>
    </row>
    <row r="23" spans="1:8" x14ac:dyDescent="0.2">
      <c r="C23" s="5" t="s">
        <v>721</v>
      </c>
    </row>
    <row r="24" spans="1:8" x14ac:dyDescent="0.2">
      <c r="C24" s="5" t="s">
        <v>722</v>
      </c>
    </row>
    <row r="25" spans="1:8" x14ac:dyDescent="0.2">
      <c r="B25" s="5" t="s">
        <v>723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724</v>
      </c>
    </row>
    <row r="32" spans="1:8" x14ac:dyDescent="0.2">
      <c r="D32" s="5" t="s">
        <v>709</v>
      </c>
    </row>
    <row r="33" spans="2:8" x14ac:dyDescent="0.2">
      <c r="D33" s="5" t="s">
        <v>704</v>
      </c>
    </row>
    <row r="34" spans="2:8" x14ac:dyDescent="0.2">
      <c r="D34" s="5" t="s">
        <v>710</v>
      </c>
    </row>
    <row r="35" spans="2:8" x14ac:dyDescent="0.2">
      <c r="D35" s="5" t="s">
        <v>711</v>
      </c>
    </row>
    <row r="36" spans="2:8" x14ac:dyDescent="0.2">
      <c r="D36" s="5" t="s">
        <v>712</v>
      </c>
    </row>
    <row r="37" spans="2:8" x14ac:dyDescent="0.2">
      <c r="B37" s="5" t="s">
        <v>725</v>
      </c>
    </row>
    <row r="38" spans="2:8" x14ac:dyDescent="0.2">
      <c r="D38" s="5" t="s">
        <v>726</v>
      </c>
    </row>
    <row r="39" spans="2:8" x14ac:dyDescent="0.2">
      <c r="E39" s="5" t="s">
        <v>727</v>
      </c>
      <c r="F39" s="5">
        <v>270</v>
      </c>
      <c r="G39" s="5" t="s">
        <v>19</v>
      </c>
      <c r="H39" s="5" t="s">
        <v>1244</v>
      </c>
    </row>
    <row r="40" spans="2:8" x14ac:dyDescent="0.2">
      <c r="D40" s="5" t="s">
        <v>719</v>
      </c>
    </row>
    <row r="41" spans="2:8" x14ac:dyDescent="0.2">
      <c r="D41" s="5" t="s">
        <v>728</v>
      </c>
    </row>
    <row r="42" spans="2:8" x14ac:dyDescent="0.2">
      <c r="D42" s="5" t="s">
        <v>721</v>
      </c>
    </row>
    <row r="43" spans="2:8" x14ac:dyDescent="0.2">
      <c r="E43" s="5" t="s">
        <v>729</v>
      </c>
      <c r="F43" s="5">
        <v>270</v>
      </c>
      <c r="G43" s="5" t="s">
        <v>19</v>
      </c>
      <c r="H43" s="5" t="s">
        <v>1244</v>
      </c>
    </row>
    <row r="44" spans="2:8" x14ac:dyDescent="0.2">
      <c r="D44" s="5" t="s">
        <v>722</v>
      </c>
    </row>
  </sheetData>
  <autoFilter ref="A18:H18"/>
  <conditionalFormatting sqref="C17">
    <cfRule type="cellIs" dxfId="109" priority="1" stopIfTrue="1" operator="equal">
      <formula>$B$10</formula>
    </cfRule>
    <cfRule type="cellIs" dxfId="10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tabColor indexed="11"/>
  </sheetPr>
  <dimension ref="A1:H42"/>
  <sheetViews>
    <sheetView workbookViewId="0">
      <selection activeCell="E4" sqref="E4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53</v>
      </c>
      <c r="C2" s="15">
        <f>IF(ISERROR(VALUE(TRIM(CLEAN(MID(C20,FIND("(",C20)+1,FIND("/",C20,1)-FIND("(",C20)-1))))),0,VALUE(TRIM(CLEAN(MID(C20,FIND("(",C20)+1,FIND("/",C20,1)-FIND("(",C20)-1)))))</f>
        <v>53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5</v>
      </c>
      <c r="C3" s="16">
        <f>IF(ISERROR(VALUE(TRIM(CLEAN(MID(C21,FIND("(",C21)+1,FIND("/",C21,1)-FIND("(",C21)-1))))),0,VALUE(TRIM(CLEAN(MID(C21,FIND("(",C21)+1,FIND("/",C21,1)-FIND("(",C21)-1)))))</f>
        <v>5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99</v>
      </c>
      <c r="C4" s="16">
        <f>IF(ISERROR(VALUE(TRIM(CLEAN(MID(C23,FIND("(",C23)+1,FIND("/",C23,1)-FIND("(",C23)-1))))),0,VALUE(TRIM(CLEAN(MID(C23,FIND("(",C23)+1,FIND("/",C23,1)-FIND("(",C23)-1)))))</f>
        <v>99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28</v>
      </c>
      <c r="C5" s="16">
        <f>IF(ISERROR(VALUE(TRIM(CLEAN(MID(C24,FIND("(",C24)+1,FIND("/",C24,1)-FIND("(",C24)-1))))),0,VALUE(TRIM(CLEAN(MID(C24,FIND("(",C24)+1,FIND("/",C24,1)-FIND("(",C24)-1)))))</f>
        <v>28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185</v>
      </c>
      <c r="C7" s="17">
        <f>SUM(C2:C5)</f>
        <v>185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731</v>
      </c>
    </row>
    <row r="20" spans="1:8" x14ac:dyDescent="0.2">
      <c r="C20" s="5" t="s">
        <v>1247</v>
      </c>
    </row>
    <row r="21" spans="1:8" x14ac:dyDescent="0.2">
      <c r="C21" s="5" t="s">
        <v>732</v>
      </c>
    </row>
    <row r="22" spans="1:8" x14ac:dyDescent="0.2">
      <c r="C22" s="5" t="s">
        <v>1248</v>
      </c>
    </row>
    <row r="23" spans="1:8" x14ac:dyDescent="0.2">
      <c r="C23" s="5" t="s">
        <v>1249</v>
      </c>
    </row>
    <row r="24" spans="1:8" x14ac:dyDescent="0.2">
      <c r="C24" s="5" t="s">
        <v>850</v>
      </c>
    </row>
    <row r="25" spans="1:8" x14ac:dyDescent="0.2">
      <c r="B25" s="5" t="s">
        <v>733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734</v>
      </c>
    </row>
    <row r="32" spans="1:8" x14ac:dyDescent="0.2">
      <c r="D32" s="5" t="s">
        <v>709</v>
      </c>
    </row>
    <row r="33" spans="2:4" x14ac:dyDescent="0.2">
      <c r="D33" s="5" t="s">
        <v>704</v>
      </c>
    </row>
    <row r="34" spans="2:4" x14ac:dyDescent="0.2">
      <c r="D34" s="5" t="s">
        <v>710</v>
      </c>
    </row>
    <row r="35" spans="2:4" x14ac:dyDescent="0.2">
      <c r="D35" s="5" t="s">
        <v>711</v>
      </c>
    </row>
    <row r="36" spans="2:4" x14ac:dyDescent="0.2">
      <c r="D36" s="5" t="s">
        <v>712</v>
      </c>
    </row>
    <row r="37" spans="2:4" x14ac:dyDescent="0.2">
      <c r="B37" s="5" t="s">
        <v>735</v>
      </c>
    </row>
    <row r="38" spans="2:4" x14ac:dyDescent="0.2">
      <c r="D38" s="5" t="s">
        <v>896</v>
      </c>
    </row>
    <row r="39" spans="2:4" x14ac:dyDescent="0.2">
      <c r="D39" s="5" t="s">
        <v>732</v>
      </c>
    </row>
    <row r="40" spans="2:4" x14ac:dyDescent="0.2">
      <c r="D40" s="5" t="s">
        <v>1250</v>
      </c>
    </row>
    <row r="41" spans="2:4" x14ac:dyDescent="0.2">
      <c r="D41" s="5" t="s">
        <v>1249</v>
      </c>
    </row>
    <row r="42" spans="2:4" x14ac:dyDescent="0.2">
      <c r="D42" s="5" t="s">
        <v>850</v>
      </c>
    </row>
  </sheetData>
  <autoFilter ref="A18:H18"/>
  <conditionalFormatting sqref="C17">
    <cfRule type="cellIs" dxfId="107" priority="1" stopIfTrue="1" operator="equal">
      <formula>$B$10</formula>
    </cfRule>
    <cfRule type="cellIs" dxfId="10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5</v>
      </c>
      <c r="C2" s="15">
        <f>IF(ISERROR(VALUE(TRIM(CLEAN(MID(C20,FIND("(",C20)+1,FIND("/",C20,1)-FIND("(",C20)-1))))),0,VALUE(TRIM(CLEAN(MID(C20,FIND("(",C20)+1,FIND("/",C20,1)-FIND("(",C20)-1)))))</f>
        <v>5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3</v>
      </c>
      <c r="C3" s="16">
        <f>IF(ISERROR(VALUE(TRIM(CLEAN(MID(C21,FIND("(",C21)+1,FIND("/",C21,1)-FIND("(",C21)-1))))),0,VALUE(TRIM(CLEAN(MID(C21,FIND("(",C21)+1,FIND("/",C21,1)-FIND("(",C21)-1)))))</f>
        <v>3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14</v>
      </c>
      <c r="C4" s="16">
        <f>IF(ISERROR(VALUE(TRIM(CLEAN(MID(C23,FIND("(",C23)+1,FIND("/",C23,1)-FIND("(",C23)-1))))),0,VALUE(TRIM(CLEAN(MID(C23,FIND("(",C23)+1,FIND("/",C23,1)-FIND("(",C23)-1)))))</f>
        <v>14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4</v>
      </c>
      <c r="C5" s="16">
        <f>IF(ISERROR(VALUE(TRIM(CLEAN(MID(C24,FIND("(",C24)+1,FIND("/",C24,1)-FIND("(",C24)-1))))),0,VALUE(TRIM(CLEAN(MID(C24,FIND("(",C24)+1,FIND("/",C24,1)-FIND("(",C24)-1)))))</f>
        <v>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26</v>
      </c>
      <c r="C7" s="17">
        <f>SUM(C2:C5)</f>
        <v>26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737</v>
      </c>
    </row>
    <row r="20" spans="1:8" x14ac:dyDescent="0.2">
      <c r="C20" s="5" t="s">
        <v>714</v>
      </c>
    </row>
    <row r="21" spans="1:8" x14ac:dyDescent="0.2">
      <c r="C21" s="5" t="s">
        <v>738</v>
      </c>
    </row>
    <row r="22" spans="1:8" x14ac:dyDescent="0.2">
      <c r="C22" s="5" t="s">
        <v>739</v>
      </c>
    </row>
    <row r="23" spans="1:8" x14ac:dyDescent="0.2">
      <c r="C23" s="5" t="s">
        <v>740</v>
      </c>
    </row>
    <row r="24" spans="1:8" x14ac:dyDescent="0.2">
      <c r="C24" s="5" t="s">
        <v>741</v>
      </c>
    </row>
    <row r="25" spans="1:8" x14ac:dyDescent="0.2">
      <c r="B25" s="5" t="s">
        <v>742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743</v>
      </c>
    </row>
    <row r="32" spans="1:8" x14ac:dyDescent="0.2">
      <c r="D32" s="5" t="s">
        <v>744</v>
      </c>
    </row>
    <row r="33" spans="4:4" x14ac:dyDescent="0.2">
      <c r="D33" s="5" t="s">
        <v>738</v>
      </c>
    </row>
    <row r="34" spans="4:4" x14ac:dyDescent="0.2">
      <c r="D34" s="5" t="s">
        <v>745</v>
      </c>
    </row>
    <row r="35" spans="4:4" x14ac:dyDescent="0.2">
      <c r="D35" s="5" t="s">
        <v>740</v>
      </c>
    </row>
    <row r="36" spans="4:4" x14ac:dyDescent="0.2">
      <c r="D36" s="5" t="s">
        <v>741</v>
      </c>
    </row>
  </sheetData>
  <autoFilter ref="A18:H18"/>
  <conditionalFormatting sqref="C17">
    <cfRule type="cellIs" dxfId="105" priority="1" stopIfTrue="1" operator="equal">
      <formula>$B$10</formula>
    </cfRule>
    <cfRule type="cellIs" dxfId="10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82</v>
      </c>
      <c r="C2" s="15">
        <f>IF(ISERROR(VALUE(TRIM(CLEAN(MID(C20,FIND("(",C20)+1,FIND("/",C20,1)-FIND("(",C20)-1))))),0,VALUE(TRIM(CLEAN(MID(C20,FIND("(",C20)+1,FIND("/",C20,1)-FIND("(",C20)-1)))))</f>
        <v>82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10</v>
      </c>
      <c r="C3" s="16">
        <f>IF(ISERROR(VALUE(TRIM(CLEAN(MID(C21,FIND("(",C21)+1,FIND("/",C21,1)-FIND("(",C21)-1))))),0,VALUE(TRIM(CLEAN(MID(C21,FIND("(",C21)+1,FIND("/",C21,1)-FIND("(",C21)-1)))))</f>
        <v>10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122</v>
      </c>
      <c r="C4" s="16">
        <f>IF(ISERROR(VALUE(TRIM(CLEAN(MID(C23,FIND("(",C23)+1,FIND("/",C23,1)-FIND("(",C23)-1))))),0,VALUE(TRIM(CLEAN(MID(C23,FIND("(",C23)+1,FIND("/",C23,1)-FIND("(",C23)-1)))))</f>
        <v>122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29</v>
      </c>
      <c r="C5" s="16">
        <f>IF(ISERROR(VALUE(TRIM(CLEAN(MID(C24,FIND("(",C24)+1,FIND("/",C24,1)-FIND("(",C24)-1))))),0,VALUE(TRIM(CLEAN(MID(C24,FIND("(",C24)+1,FIND("/",C24,1)-FIND("(",C24)-1)))))</f>
        <v>29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243</v>
      </c>
      <c r="C7" s="17">
        <f>SUM(C2:C5)</f>
        <v>243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747</v>
      </c>
    </row>
    <row r="20" spans="1:8" x14ac:dyDescent="0.2">
      <c r="C20" s="5" t="s">
        <v>748</v>
      </c>
    </row>
    <row r="21" spans="1:8" x14ac:dyDescent="0.2">
      <c r="C21" s="5" t="s">
        <v>749</v>
      </c>
    </row>
    <row r="22" spans="1:8" x14ac:dyDescent="0.2">
      <c r="C22" s="5" t="s">
        <v>750</v>
      </c>
    </row>
    <row r="23" spans="1:8" x14ac:dyDescent="0.2">
      <c r="C23" s="5" t="s">
        <v>751</v>
      </c>
    </row>
    <row r="24" spans="1:8" x14ac:dyDescent="0.2">
      <c r="C24" s="5" t="s">
        <v>752</v>
      </c>
    </row>
    <row r="25" spans="1:8" x14ac:dyDescent="0.2">
      <c r="B25" s="5" t="s">
        <v>753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754</v>
      </c>
    </row>
    <row r="32" spans="1:8" x14ac:dyDescent="0.2">
      <c r="D32" s="5" t="s">
        <v>709</v>
      </c>
    </row>
    <row r="33" spans="2:4" x14ac:dyDescent="0.2">
      <c r="D33" s="5" t="s">
        <v>704</v>
      </c>
    </row>
    <row r="34" spans="2:4" x14ac:dyDescent="0.2">
      <c r="D34" s="5" t="s">
        <v>710</v>
      </c>
    </row>
    <row r="35" spans="2:4" x14ac:dyDescent="0.2">
      <c r="D35" s="5" t="s">
        <v>711</v>
      </c>
    </row>
    <row r="36" spans="2:4" x14ac:dyDescent="0.2">
      <c r="D36" s="5" t="s">
        <v>712</v>
      </c>
    </row>
    <row r="37" spans="2:4" x14ac:dyDescent="0.2">
      <c r="B37" s="5" t="s">
        <v>755</v>
      </c>
    </row>
    <row r="38" spans="2:4" x14ac:dyDescent="0.2">
      <c r="D38" s="5" t="s">
        <v>756</v>
      </c>
    </row>
    <row r="39" spans="2:4" x14ac:dyDescent="0.2">
      <c r="D39" s="5" t="s">
        <v>749</v>
      </c>
    </row>
    <row r="40" spans="2:4" x14ac:dyDescent="0.2">
      <c r="D40" s="5" t="s">
        <v>757</v>
      </c>
    </row>
    <row r="41" spans="2:4" x14ac:dyDescent="0.2">
      <c r="D41" s="5" t="s">
        <v>751</v>
      </c>
    </row>
    <row r="42" spans="2:4" x14ac:dyDescent="0.2">
      <c r="D42" s="5" t="s">
        <v>752</v>
      </c>
    </row>
    <row r="43" spans="2:4" x14ac:dyDescent="0.2">
      <c r="B43" s="5" t="s">
        <v>758</v>
      </c>
    </row>
    <row r="44" spans="2:4" x14ac:dyDescent="0.2">
      <c r="D44" s="5" t="s">
        <v>709</v>
      </c>
    </row>
    <row r="45" spans="2:4" x14ac:dyDescent="0.2">
      <c r="D45" s="5" t="s">
        <v>704</v>
      </c>
    </row>
    <row r="46" spans="2:4" x14ac:dyDescent="0.2">
      <c r="D46" s="5" t="s">
        <v>710</v>
      </c>
    </row>
    <row r="47" spans="2:4" x14ac:dyDescent="0.2">
      <c r="D47" s="5" t="s">
        <v>711</v>
      </c>
    </row>
    <row r="48" spans="2:4" x14ac:dyDescent="0.2">
      <c r="D48" s="5" t="s">
        <v>712</v>
      </c>
    </row>
  </sheetData>
  <autoFilter ref="A18:H18"/>
  <conditionalFormatting sqref="C17">
    <cfRule type="cellIs" dxfId="103" priority="1" stopIfTrue="1" operator="equal">
      <formula>$B$10</formula>
    </cfRule>
    <cfRule type="cellIs" dxfId="10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8</v>
      </c>
      <c r="C2" s="15">
        <f>IF(ISERROR(VALUE(TRIM(CLEAN(MID(C20,FIND("(",C20)+1,FIND("/",C20,1)-FIND("(",C20)-1))))),0,VALUE(TRIM(CLEAN(MID(C20,FIND("(",C20)+1,FIND("/",C20,1)-FIND("(",C20)-1)))))</f>
        <v>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8</v>
      </c>
      <c r="C4" s="16">
        <f>IF(ISERROR(VALUE(TRIM(CLEAN(MID(C23,FIND("(",C23)+1,FIND("/",C23,1)-FIND("(",C23)-1))))),0,VALUE(TRIM(CLEAN(MID(C23,FIND("(",C23)+1,FIND("/",C23,1)-FIND("(",C23)-1)))))</f>
        <v>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</v>
      </c>
      <c r="C5" s="16">
        <f>IF(ISERROR(VALUE(TRIM(CLEAN(MID(C24,FIND("(",C24)+1,FIND("/",C24,1)-FIND("(",C24)-1))))),0,VALUE(TRIM(CLEAN(MID(C24,FIND("(",C24)+1,FIND("/",C24,1)-FIND("(",C24)-1)))))</f>
        <v>2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18</v>
      </c>
      <c r="C7" s="17">
        <f>SUM(C2:C5)</f>
        <v>18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760</v>
      </c>
    </row>
    <row r="20" spans="1:8" x14ac:dyDescent="0.2">
      <c r="C20" s="5" t="s">
        <v>761</v>
      </c>
    </row>
    <row r="21" spans="1:8" x14ac:dyDescent="0.2">
      <c r="C21" s="5" t="s">
        <v>704</v>
      </c>
    </row>
    <row r="22" spans="1:8" x14ac:dyDescent="0.2">
      <c r="C22" s="5" t="s">
        <v>739</v>
      </c>
    </row>
    <row r="23" spans="1:8" x14ac:dyDescent="0.2">
      <c r="C23" s="5" t="s">
        <v>762</v>
      </c>
    </row>
    <row r="24" spans="1:8" x14ac:dyDescent="0.2">
      <c r="C24" s="5" t="s">
        <v>722</v>
      </c>
    </row>
    <row r="25" spans="1:8" x14ac:dyDescent="0.2">
      <c r="B25" s="5" t="s">
        <v>763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764</v>
      </c>
    </row>
    <row r="32" spans="1:8" x14ac:dyDescent="0.2">
      <c r="D32" s="5" t="s">
        <v>709</v>
      </c>
    </row>
    <row r="33" spans="2:4" x14ac:dyDescent="0.2">
      <c r="D33" s="5" t="s">
        <v>704</v>
      </c>
    </row>
    <row r="34" spans="2:4" x14ac:dyDescent="0.2">
      <c r="D34" s="5" t="s">
        <v>710</v>
      </c>
    </row>
    <row r="35" spans="2:4" x14ac:dyDescent="0.2">
      <c r="D35" s="5" t="s">
        <v>711</v>
      </c>
    </row>
    <row r="36" spans="2:4" x14ac:dyDescent="0.2">
      <c r="D36" s="5" t="s">
        <v>712</v>
      </c>
    </row>
    <row r="37" spans="2:4" x14ac:dyDescent="0.2">
      <c r="B37" s="5" t="s">
        <v>765</v>
      </c>
    </row>
    <row r="38" spans="2:4" x14ac:dyDescent="0.2">
      <c r="D38" s="5" t="s">
        <v>714</v>
      </c>
    </row>
    <row r="39" spans="2:4" x14ac:dyDescent="0.2">
      <c r="D39" s="5" t="s">
        <v>704</v>
      </c>
    </row>
    <row r="40" spans="2:4" x14ac:dyDescent="0.2">
      <c r="D40" s="5" t="s">
        <v>715</v>
      </c>
    </row>
    <row r="41" spans="2:4" x14ac:dyDescent="0.2">
      <c r="D41" s="5" t="s">
        <v>762</v>
      </c>
    </row>
    <row r="42" spans="2:4" x14ac:dyDescent="0.2">
      <c r="D42" s="5" t="s">
        <v>722</v>
      </c>
    </row>
    <row r="43" spans="2:4" x14ac:dyDescent="0.2">
      <c r="B43" s="5" t="s">
        <v>766</v>
      </c>
    </row>
    <row r="44" spans="2:4" x14ac:dyDescent="0.2">
      <c r="D44" s="5" t="s">
        <v>709</v>
      </c>
    </row>
    <row r="45" spans="2:4" x14ac:dyDescent="0.2">
      <c r="D45" s="5" t="s">
        <v>704</v>
      </c>
    </row>
    <row r="46" spans="2:4" x14ac:dyDescent="0.2">
      <c r="D46" s="5" t="s">
        <v>710</v>
      </c>
    </row>
    <row r="47" spans="2:4" x14ac:dyDescent="0.2">
      <c r="D47" s="5" t="s">
        <v>711</v>
      </c>
    </row>
    <row r="48" spans="2:4" x14ac:dyDescent="0.2">
      <c r="D48" s="5" t="s">
        <v>712</v>
      </c>
    </row>
  </sheetData>
  <autoFilter ref="A18:H18"/>
  <conditionalFormatting sqref="C17">
    <cfRule type="cellIs" dxfId="101" priority="1" stopIfTrue="1" operator="equal">
      <formula>$B$10</formula>
    </cfRule>
    <cfRule type="cellIs" dxfId="10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8</v>
      </c>
      <c r="C2" s="15">
        <f>IF(ISERROR(VALUE(TRIM(CLEAN(MID(C20,FIND("(",C20)+1,FIND("/",C20,1)-FIND("(",C20)-1))))),0,VALUE(TRIM(CLEAN(MID(C20,FIND("(",C20)+1,FIND("/",C20,1)-FIND("(",C20)-1)))))</f>
        <v>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40</v>
      </c>
      <c r="C4" s="16">
        <f>IF(ISERROR(VALUE(TRIM(CLEAN(MID(C23,FIND("(",C23)+1,FIND("/",C23,1)-FIND("(",C23)-1))))),0,VALUE(TRIM(CLEAN(MID(C23,FIND("(",C23)+1,FIND("/",C23,1)-FIND("(",C23)-1)))))</f>
        <v>40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18</v>
      </c>
      <c r="C5" s="16">
        <f>IF(ISERROR(VALUE(TRIM(CLEAN(MID(C24,FIND("(",C24)+1,FIND("/",C24,1)-FIND("(",C24)-1))))),0,VALUE(TRIM(CLEAN(MID(C24,FIND("(",C24)+1,FIND("/",C24,1)-FIND("(",C24)-1)))))</f>
        <v>18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66</v>
      </c>
      <c r="C7" s="17">
        <f>SUM(C2:C5)</f>
        <v>66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768</v>
      </c>
    </row>
    <row r="20" spans="1:8" x14ac:dyDescent="0.2">
      <c r="C20" s="5" t="s">
        <v>761</v>
      </c>
    </row>
    <row r="21" spans="1:8" x14ac:dyDescent="0.2">
      <c r="C21" s="5" t="s">
        <v>704</v>
      </c>
    </row>
    <row r="22" spans="1:8" x14ac:dyDescent="0.2">
      <c r="C22" s="5" t="s">
        <v>739</v>
      </c>
    </row>
    <row r="23" spans="1:8" x14ac:dyDescent="0.2">
      <c r="C23" s="5" t="s">
        <v>769</v>
      </c>
    </row>
    <row r="24" spans="1:8" x14ac:dyDescent="0.2">
      <c r="C24" s="5" t="s">
        <v>770</v>
      </c>
    </row>
    <row r="25" spans="1:8" x14ac:dyDescent="0.2">
      <c r="B25" s="5" t="s">
        <v>771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772</v>
      </c>
    </row>
    <row r="32" spans="1:8" x14ac:dyDescent="0.2">
      <c r="D32" s="5" t="s">
        <v>709</v>
      </c>
    </row>
    <row r="33" spans="2:4" x14ac:dyDescent="0.2">
      <c r="D33" s="5" t="s">
        <v>704</v>
      </c>
    </row>
    <row r="34" spans="2:4" x14ac:dyDescent="0.2">
      <c r="D34" s="5" t="s">
        <v>710</v>
      </c>
    </row>
    <row r="35" spans="2:4" x14ac:dyDescent="0.2">
      <c r="D35" s="5" t="s">
        <v>711</v>
      </c>
    </row>
    <row r="36" spans="2:4" x14ac:dyDescent="0.2">
      <c r="D36" s="5" t="s">
        <v>712</v>
      </c>
    </row>
    <row r="37" spans="2:4" x14ac:dyDescent="0.2">
      <c r="B37" s="5" t="s">
        <v>773</v>
      </c>
    </row>
    <row r="38" spans="2:4" x14ac:dyDescent="0.2">
      <c r="D38" s="5" t="s">
        <v>714</v>
      </c>
    </row>
    <row r="39" spans="2:4" x14ac:dyDescent="0.2">
      <c r="D39" s="5" t="s">
        <v>704</v>
      </c>
    </row>
    <row r="40" spans="2:4" x14ac:dyDescent="0.2">
      <c r="D40" s="5" t="s">
        <v>715</v>
      </c>
    </row>
    <row r="41" spans="2:4" x14ac:dyDescent="0.2">
      <c r="D41" s="5" t="s">
        <v>769</v>
      </c>
    </row>
    <row r="42" spans="2:4" x14ac:dyDescent="0.2">
      <c r="D42" s="5" t="s">
        <v>770</v>
      </c>
    </row>
    <row r="43" spans="2:4" x14ac:dyDescent="0.2">
      <c r="B43" s="5" t="s">
        <v>774</v>
      </c>
    </row>
    <row r="44" spans="2:4" x14ac:dyDescent="0.2">
      <c r="D44" s="5" t="s">
        <v>709</v>
      </c>
    </row>
    <row r="45" spans="2:4" x14ac:dyDescent="0.2">
      <c r="D45" s="5" t="s">
        <v>704</v>
      </c>
    </row>
    <row r="46" spans="2:4" x14ac:dyDescent="0.2">
      <c r="D46" s="5" t="s">
        <v>710</v>
      </c>
    </row>
    <row r="47" spans="2:4" x14ac:dyDescent="0.2">
      <c r="D47" s="5" t="s">
        <v>711</v>
      </c>
    </row>
    <row r="48" spans="2:4" x14ac:dyDescent="0.2">
      <c r="D48" s="5" t="s">
        <v>712</v>
      </c>
    </row>
  </sheetData>
  <autoFilter ref="A18:H18"/>
  <conditionalFormatting sqref="C17">
    <cfRule type="cellIs" dxfId="99" priority="1" stopIfTrue="1" operator="equal">
      <formula>$B$10</formula>
    </cfRule>
    <cfRule type="cellIs" dxfId="9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32</v>
      </c>
      <c r="C2" s="15">
        <f>IF(ISERROR(VALUE(TRIM(CLEAN(MID(C20,FIND("(",C20)+1,FIND("/",C20,1)-FIND("(",C20)-1))))),0,VALUE(TRIM(CLEAN(MID(C20,FIND("(",C20)+1,FIND("/",C20,1)-FIND("(",C20)-1)))))</f>
        <v>32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39</v>
      </c>
      <c r="C4" s="16">
        <f>IF(ISERROR(VALUE(TRIM(CLEAN(MID(C23,FIND("(",C23)+1,FIND("/",C23,1)-FIND("(",C23)-1))))),0,VALUE(TRIM(CLEAN(MID(C23,FIND("(",C23)+1,FIND("/",C23,1)-FIND("(",C23)-1)))))</f>
        <v>39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5</v>
      </c>
      <c r="C5" s="16">
        <f>IF(ISERROR(VALUE(TRIM(CLEAN(MID(C24,FIND("(",C24)+1,FIND("/",C24,1)-FIND("(",C24)-1))))),0,VALUE(TRIM(CLEAN(MID(C24,FIND("(",C24)+1,FIND("/",C24,1)-FIND("(",C24)-1)))))</f>
        <v>5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77</v>
      </c>
      <c r="C7" s="17">
        <f>SUM(C2:C5)</f>
        <v>77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776</v>
      </c>
    </row>
    <row r="20" spans="1:8" x14ac:dyDescent="0.2">
      <c r="C20" s="5" t="s">
        <v>777</v>
      </c>
    </row>
    <row r="21" spans="1:8" x14ac:dyDescent="0.2">
      <c r="C21" s="5" t="s">
        <v>719</v>
      </c>
    </row>
    <row r="22" spans="1:8" x14ac:dyDescent="0.2">
      <c r="C22" s="5" t="s">
        <v>778</v>
      </c>
    </row>
    <row r="23" spans="1:8" x14ac:dyDescent="0.2">
      <c r="C23" s="5" t="s">
        <v>779</v>
      </c>
    </row>
    <row r="24" spans="1:8" x14ac:dyDescent="0.2">
      <c r="C24" s="5" t="s">
        <v>780</v>
      </c>
    </row>
    <row r="25" spans="1:8" x14ac:dyDescent="0.2">
      <c r="B25" s="5" t="s">
        <v>781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782</v>
      </c>
    </row>
    <row r="32" spans="1:8" x14ac:dyDescent="0.2">
      <c r="D32" s="5" t="s">
        <v>783</v>
      </c>
    </row>
    <row r="33" spans="4:4" x14ac:dyDescent="0.2">
      <c r="D33" s="5" t="s">
        <v>719</v>
      </c>
    </row>
    <row r="34" spans="4:4" x14ac:dyDescent="0.2">
      <c r="D34" s="5" t="s">
        <v>784</v>
      </c>
    </row>
    <row r="35" spans="4:4" x14ac:dyDescent="0.2">
      <c r="D35" s="5" t="s">
        <v>779</v>
      </c>
    </row>
    <row r="36" spans="4:4" x14ac:dyDescent="0.2">
      <c r="D36" s="5" t="s">
        <v>780</v>
      </c>
    </row>
  </sheetData>
  <autoFilter ref="A18:H18"/>
  <conditionalFormatting sqref="C17">
    <cfRule type="cellIs" dxfId="97" priority="1" stopIfTrue="1" operator="equal">
      <formula>$B$10</formula>
    </cfRule>
    <cfRule type="cellIs" dxfId="9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76</v>
      </c>
      <c r="C4" s="16">
        <f>IF(ISERROR(VALUE(TRIM(CLEAN(MID(C23,FIND("(",C23)+1,FIND("/",C23,1)-FIND("(",C23)-1))))),0,VALUE(TRIM(CLEAN(MID(C23,FIND("(",C23)+1,FIND("/",C23,1)-FIND("(",C23)-1)))))</f>
        <v>76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38</v>
      </c>
      <c r="C5" s="16">
        <f>IF(ISERROR(VALUE(TRIM(CLEAN(MID(C24,FIND("(",C24)+1,FIND("/",C24,1)-FIND("(",C24)-1))))),0,VALUE(TRIM(CLEAN(MID(C24,FIND("(",C24)+1,FIND("/",C24,1)-FIND("(",C24)-1)))))</f>
        <v>38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116</v>
      </c>
      <c r="C7" s="17">
        <f>SUM(C2:C5)</f>
        <v>116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786</v>
      </c>
    </row>
    <row r="20" spans="1:8" x14ac:dyDescent="0.2">
      <c r="C20" s="5" t="s">
        <v>787</v>
      </c>
    </row>
    <row r="21" spans="1:8" x14ac:dyDescent="0.2">
      <c r="C21" s="5" t="s">
        <v>704</v>
      </c>
    </row>
    <row r="22" spans="1:8" x14ac:dyDescent="0.2">
      <c r="C22" s="5" t="s">
        <v>788</v>
      </c>
    </row>
    <row r="23" spans="1:8" x14ac:dyDescent="0.2">
      <c r="C23" s="5" t="s">
        <v>789</v>
      </c>
    </row>
    <row r="24" spans="1:8" x14ac:dyDescent="0.2">
      <c r="C24" s="5" t="s">
        <v>790</v>
      </c>
    </row>
    <row r="25" spans="1:8" x14ac:dyDescent="0.2">
      <c r="B25" s="5" t="s">
        <v>791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792</v>
      </c>
    </row>
    <row r="32" spans="1:8" x14ac:dyDescent="0.2">
      <c r="D32" s="5" t="s">
        <v>709</v>
      </c>
    </row>
    <row r="33" spans="4:4" x14ac:dyDescent="0.2">
      <c r="D33" s="5" t="s">
        <v>704</v>
      </c>
    </row>
    <row r="34" spans="4:4" x14ac:dyDescent="0.2">
      <c r="D34" s="5" t="s">
        <v>710</v>
      </c>
    </row>
    <row r="35" spans="4:4" x14ac:dyDescent="0.2">
      <c r="D35" s="5" t="s">
        <v>789</v>
      </c>
    </row>
    <row r="36" spans="4:4" x14ac:dyDescent="0.2">
      <c r="D36" s="5" t="s">
        <v>790</v>
      </c>
    </row>
  </sheetData>
  <autoFilter ref="A18:H18"/>
  <conditionalFormatting sqref="C17">
    <cfRule type="cellIs" dxfId="95" priority="1" stopIfTrue="1" operator="equal">
      <formula>$B$10</formula>
    </cfRule>
    <cfRule type="cellIs" dxfId="9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8</v>
      </c>
      <c r="C2" s="15">
        <f>IF(ISERROR(VALUE(TRIM(CLEAN(MID(C20,FIND("(",C20)+1,FIND("/",C20,1)-FIND("(",C20)-1))))),0,VALUE(TRIM(CLEAN(MID(C20,FIND("(",C20)+1,FIND("/",C20,1)-FIND("(",C20)-1)))))</f>
        <v>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8</v>
      </c>
      <c r="C4" s="16">
        <f>IF(ISERROR(VALUE(TRIM(CLEAN(MID(C23,FIND("(",C23)+1,FIND("/",C23,1)-FIND("(",C23)-1))))),0,VALUE(TRIM(CLEAN(MID(C23,FIND("(",C23)+1,FIND("/",C23,1)-FIND("(",C23)-1)))))</f>
        <v>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18</v>
      </c>
      <c r="C7" s="17">
        <f>SUM(C2:C5)</f>
        <v>18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794</v>
      </c>
    </row>
    <row r="20" spans="1:8" x14ac:dyDescent="0.2">
      <c r="C20" s="5" t="s">
        <v>761</v>
      </c>
    </row>
    <row r="21" spans="1:8" x14ac:dyDescent="0.2">
      <c r="C21" s="5" t="s">
        <v>795</v>
      </c>
    </row>
    <row r="22" spans="1:8" x14ac:dyDescent="0.2">
      <c r="C22" s="5" t="s">
        <v>796</v>
      </c>
    </row>
    <row r="23" spans="1:8" x14ac:dyDescent="0.2">
      <c r="C23" s="5" t="s">
        <v>762</v>
      </c>
    </row>
    <row r="24" spans="1:8" x14ac:dyDescent="0.2">
      <c r="C24" s="5" t="s">
        <v>712</v>
      </c>
    </row>
    <row r="25" spans="1:8" x14ac:dyDescent="0.2">
      <c r="B25" s="5" t="s">
        <v>797</v>
      </c>
    </row>
    <row r="26" spans="1:8" x14ac:dyDescent="0.2">
      <c r="D26" s="5" t="s">
        <v>761</v>
      </c>
    </row>
    <row r="27" spans="1:8" x14ac:dyDescent="0.2">
      <c r="D27" s="5" t="s">
        <v>795</v>
      </c>
    </row>
    <row r="28" spans="1:8" x14ac:dyDescent="0.2">
      <c r="D28" s="5" t="s">
        <v>796</v>
      </c>
    </row>
    <row r="29" spans="1:8" x14ac:dyDescent="0.2">
      <c r="D29" s="5" t="s">
        <v>762</v>
      </c>
    </row>
    <row r="30" spans="1:8" x14ac:dyDescent="0.2">
      <c r="D30" s="5" t="s">
        <v>712</v>
      </c>
    </row>
  </sheetData>
  <autoFilter ref="A18:H18"/>
  <conditionalFormatting sqref="C17">
    <cfRule type="cellIs" dxfId="93" priority="1" stopIfTrue="1" operator="equal">
      <formula>$B$10</formula>
    </cfRule>
    <cfRule type="cellIs" dxfId="9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indexed="11"/>
  </sheetPr>
  <dimension ref="A1:H12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48</v>
      </c>
      <c r="C2" s="15">
        <f>IF(ISERROR(VALUE(TRIM(CLEAN(MID(C20,FIND("(",C20)+1,FIND("/",C20,1)-FIND("(",C20)-1))))),0,VALUE(TRIM(CLEAN(MID(C20,FIND("(",C20)+1,FIND("/",C20,1)-FIND("(",C20)-1)))))</f>
        <v>48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58</v>
      </c>
      <c r="C4" s="16">
        <f>IF(ISERROR(VALUE(TRIM(CLEAN(MID(C23,FIND("(",C23)+1,FIND("/",C23,1)-FIND("(",C23)-1))))),0,VALUE(TRIM(CLEAN(MID(C23,FIND("(",C23)+1,FIND("/",C23,1)-FIND("(",C23)-1)))))</f>
        <v>58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12</v>
      </c>
      <c r="C5" s="16">
        <f>IF(ISERROR(VALUE(TRIM(CLEAN(MID(C24,FIND("(",C24)+1,FIND("/",C24,1)-FIND("(",C24)-1))))),0,VALUE(TRIM(CLEAN(MID(C24,FIND("(",C24)+1,FIND("/",C24,1)-FIND("(",C24)-1)))))</f>
        <v>12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120</v>
      </c>
      <c r="C7" s="17">
        <f>SUM(C2:C5)</f>
        <v>120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799</v>
      </c>
    </row>
    <row r="20" spans="1:8" x14ac:dyDescent="0.2">
      <c r="C20" s="5" t="s">
        <v>800</v>
      </c>
    </row>
    <row r="21" spans="1:8" x14ac:dyDescent="0.2">
      <c r="C21" s="5" t="s">
        <v>795</v>
      </c>
    </row>
    <row r="22" spans="1:8" x14ac:dyDescent="0.2">
      <c r="C22" s="5" t="s">
        <v>801</v>
      </c>
    </row>
    <row r="23" spans="1:8" x14ac:dyDescent="0.2">
      <c r="C23" s="5" t="s">
        <v>802</v>
      </c>
    </row>
    <row r="24" spans="1:8" x14ac:dyDescent="0.2">
      <c r="C24" s="5" t="s">
        <v>803</v>
      </c>
    </row>
    <row r="25" spans="1:8" x14ac:dyDescent="0.2">
      <c r="B25" s="5" t="s">
        <v>804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805</v>
      </c>
    </row>
    <row r="30" spans="1:8" x14ac:dyDescent="0.2">
      <c r="D30" s="5" t="s">
        <v>722</v>
      </c>
    </row>
    <row r="31" spans="1:8" x14ac:dyDescent="0.2">
      <c r="B31" s="5" t="s">
        <v>806</v>
      </c>
    </row>
    <row r="32" spans="1:8" x14ac:dyDescent="0.2">
      <c r="D32" s="5" t="s">
        <v>709</v>
      </c>
    </row>
    <row r="33" spans="2:4" x14ac:dyDescent="0.2">
      <c r="D33" s="5" t="s">
        <v>704</v>
      </c>
    </row>
    <row r="34" spans="2:4" x14ac:dyDescent="0.2">
      <c r="D34" s="5" t="s">
        <v>710</v>
      </c>
    </row>
    <row r="35" spans="2:4" x14ac:dyDescent="0.2">
      <c r="D35" s="5" t="s">
        <v>805</v>
      </c>
    </row>
    <row r="36" spans="2:4" x14ac:dyDescent="0.2">
      <c r="D36" s="5" t="s">
        <v>722</v>
      </c>
    </row>
    <row r="37" spans="2:4" x14ac:dyDescent="0.2">
      <c r="B37" s="5" t="s">
        <v>807</v>
      </c>
    </row>
    <row r="38" spans="2:4" x14ac:dyDescent="0.2">
      <c r="D38" s="5" t="s">
        <v>709</v>
      </c>
    </row>
    <row r="39" spans="2:4" x14ac:dyDescent="0.2">
      <c r="D39" s="5" t="s">
        <v>704</v>
      </c>
    </row>
    <row r="40" spans="2:4" x14ac:dyDescent="0.2">
      <c r="D40" s="5" t="s">
        <v>710</v>
      </c>
    </row>
    <row r="41" spans="2:4" x14ac:dyDescent="0.2">
      <c r="D41" s="5" t="s">
        <v>805</v>
      </c>
    </row>
    <row r="42" spans="2:4" x14ac:dyDescent="0.2">
      <c r="D42" s="5" t="s">
        <v>722</v>
      </c>
    </row>
    <row r="43" spans="2:4" x14ac:dyDescent="0.2">
      <c r="B43" s="5" t="s">
        <v>808</v>
      </c>
    </row>
    <row r="44" spans="2:4" x14ac:dyDescent="0.2">
      <c r="D44" s="5" t="s">
        <v>709</v>
      </c>
    </row>
    <row r="45" spans="2:4" x14ac:dyDescent="0.2">
      <c r="D45" s="5" t="s">
        <v>704</v>
      </c>
    </row>
    <row r="46" spans="2:4" x14ac:dyDescent="0.2">
      <c r="D46" s="5" t="s">
        <v>710</v>
      </c>
    </row>
    <row r="47" spans="2:4" x14ac:dyDescent="0.2">
      <c r="D47" s="5" t="s">
        <v>805</v>
      </c>
    </row>
    <row r="48" spans="2:4" x14ac:dyDescent="0.2">
      <c r="D48" s="5" t="s">
        <v>722</v>
      </c>
    </row>
    <row r="49" spans="2:4" x14ac:dyDescent="0.2">
      <c r="B49" s="5" t="s">
        <v>809</v>
      </c>
    </row>
    <row r="50" spans="2:4" x14ac:dyDescent="0.2">
      <c r="D50" s="5" t="s">
        <v>709</v>
      </c>
    </row>
    <row r="51" spans="2:4" x14ac:dyDescent="0.2">
      <c r="D51" s="5" t="s">
        <v>704</v>
      </c>
    </row>
    <row r="52" spans="2:4" x14ac:dyDescent="0.2">
      <c r="D52" s="5" t="s">
        <v>710</v>
      </c>
    </row>
    <row r="53" spans="2:4" x14ac:dyDescent="0.2">
      <c r="D53" s="5" t="s">
        <v>805</v>
      </c>
    </row>
    <row r="54" spans="2:4" x14ac:dyDescent="0.2">
      <c r="D54" s="5" t="s">
        <v>722</v>
      </c>
    </row>
    <row r="55" spans="2:4" x14ac:dyDescent="0.2">
      <c r="B55" s="5" t="s">
        <v>810</v>
      </c>
    </row>
    <row r="56" spans="2:4" x14ac:dyDescent="0.2">
      <c r="D56" s="5" t="s">
        <v>709</v>
      </c>
    </row>
    <row r="57" spans="2:4" x14ac:dyDescent="0.2">
      <c r="D57" s="5" t="s">
        <v>704</v>
      </c>
    </row>
    <row r="58" spans="2:4" x14ac:dyDescent="0.2">
      <c r="D58" s="5" t="s">
        <v>710</v>
      </c>
    </row>
    <row r="59" spans="2:4" x14ac:dyDescent="0.2">
      <c r="D59" s="5" t="s">
        <v>805</v>
      </c>
    </row>
    <row r="60" spans="2:4" x14ac:dyDescent="0.2">
      <c r="D60" s="5" t="s">
        <v>722</v>
      </c>
    </row>
    <row r="61" spans="2:4" x14ac:dyDescent="0.2">
      <c r="B61" s="5" t="s">
        <v>811</v>
      </c>
    </row>
    <row r="62" spans="2:4" x14ac:dyDescent="0.2">
      <c r="D62" s="5" t="s">
        <v>812</v>
      </c>
    </row>
    <row r="63" spans="2:4" x14ac:dyDescent="0.2">
      <c r="D63" s="5" t="s">
        <v>704</v>
      </c>
    </row>
    <row r="64" spans="2:4" x14ac:dyDescent="0.2">
      <c r="D64" s="5" t="s">
        <v>813</v>
      </c>
    </row>
    <row r="65" spans="2:4" x14ac:dyDescent="0.2">
      <c r="D65" s="5" t="s">
        <v>814</v>
      </c>
    </row>
    <row r="66" spans="2:4" x14ac:dyDescent="0.2">
      <c r="D66" s="5" t="s">
        <v>712</v>
      </c>
    </row>
    <row r="67" spans="2:4" x14ac:dyDescent="0.2">
      <c r="B67" s="5" t="s">
        <v>815</v>
      </c>
    </row>
    <row r="68" spans="2:4" x14ac:dyDescent="0.2">
      <c r="D68" s="5" t="s">
        <v>714</v>
      </c>
    </row>
    <row r="69" spans="2:4" x14ac:dyDescent="0.2">
      <c r="D69" s="5" t="s">
        <v>704</v>
      </c>
    </row>
    <row r="70" spans="2:4" x14ac:dyDescent="0.2">
      <c r="D70" s="5" t="s">
        <v>715</v>
      </c>
    </row>
    <row r="71" spans="2:4" x14ac:dyDescent="0.2">
      <c r="D71" s="5" t="s">
        <v>805</v>
      </c>
    </row>
    <row r="72" spans="2:4" x14ac:dyDescent="0.2">
      <c r="D72" s="5" t="s">
        <v>712</v>
      </c>
    </row>
    <row r="73" spans="2:4" x14ac:dyDescent="0.2">
      <c r="B73" s="5" t="s">
        <v>816</v>
      </c>
    </row>
    <row r="74" spans="2:4" x14ac:dyDescent="0.2">
      <c r="D74" s="5" t="s">
        <v>714</v>
      </c>
    </row>
    <row r="75" spans="2:4" x14ac:dyDescent="0.2">
      <c r="D75" s="5" t="s">
        <v>704</v>
      </c>
    </row>
    <row r="76" spans="2:4" x14ac:dyDescent="0.2">
      <c r="D76" s="5" t="s">
        <v>715</v>
      </c>
    </row>
    <row r="77" spans="2:4" x14ac:dyDescent="0.2">
      <c r="D77" s="5" t="s">
        <v>805</v>
      </c>
    </row>
    <row r="78" spans="2:4" x14ac:dyDescent="0.2">
      <c r="D78" s="5" t="s">
        <v>712</v>
      </c>
    </row>
    <row r="79" spans="2:4" x14ac:dyDescent="0.2">
      <c r="B79" s="5" t="s">
        <v>817</v>
      </c>
    </row>
    <row r="80" spans="2:4" x14ac:dyDescent="0.2">
      <c r="D80" s="5" t="s">
        <v>812</v>
      </c>
    </row>
    <row r="81" spans="2:4" x14ac:dyDescent="0.2">
      <c r="D81" s="5" t="s">
        <v>704</v>
      </c>
    </row>
    <row r="82" spans="2:4" x14ac:dyDescent="0.2">
      <c r="D82" s="5" t="s">
        <v>813</v>
      </c>
    </row>
    <row r="83" spans="2:4" x14ac:dyDescent="0.2">
      <c r="D83" s="5" t="s">
        <v>814</v>
      </c>
    </row>
    <row r="84" spans="2:4" x14ac:dyDescent="0.2">
      <c r="D84" s="5" t="s">
        <v>712</v>
      </c>
    </row>
    <row r="85" spans="2:4" x14ac:dyDescent="0.2">
      <c r="B85" s="5" t="s">
        <v>818</v>
      </c>
    </row>
    <row r="86" spans="2:4" x14ac:dyDescent="0.2">
      <c r="D86" s="5" t="s">
        <v>703</v>
      </c>
    </row>
    <row r="87" spans="2:4" x14ac:dyDescent="0.2">
      <c r="D87" s="5" t="s">
        <v>719</v>
      </c>
    </row>
    <row r="88" spans="2:4" x14ac:dyDescent="0.2">
      <c r="D88" s="5" t="s">
        <v>745</v>
      </c>
    </row>
    <row r="89" spans="2:4" x14ac:dyDescent="0.2">
      <c r="D89" s="5" t="s">
        <v>819</v>
      </c>
    </row>
    <row r="90" spans="2:4" x14ac:dyDescent="0.2">
      <c r="D90" s="5" t="s">
        <v>712</v>
      </c>
    </row>
    <row r="91" spans="2:4" x14ac:dyDescent="0.2">
      <c r="B91" s="5" t="s">
        <v>820</v>
      </c>
    </row>
    <row r="92" spans="2:4" x14ac:dyDescent="0.2">
      <c r="D92" s="5" t="s">
        <v>714</v>
      </c>
    </row>
    <row r="93" spans="2:4" x14ac:dyDescent="0.2">
      <c r="D93" s="5" t="s">
        <v>704</v>
      </c>
    </row>
    <row r="94" spans="2:4" x14ac:dyDescent="0.2">
      <c r="D94" s="5" t="s">
        <v>715</v>
      </c>
    </row>
    <row r="95" spans="2:4" x14ac:dyDescent="0.2">
      <c r="D95" s="5" t="s">
        <v>805</v>
      </c>
    </row>
    <row r="96" spans="2:4" x14ac:dyDescent="0.2">
      <c r="D96" s="5" t="s">
        <v>712</v>
      </c>
    </row>
    <row r="97" spans="2:4" x14ac:dyDescent="0.2">
      <c r="B97" s="5" t="s">
        <v>821</v>
      </c>
    </row>
    <row r="98" spans="2:4" x14ac:dyDescent="0.2">
      <c r="D98" s="5" t="s">
        <v>709</v>
      </c>
    </row>
    <row r="99" spans="2:4" x14ac:dyDescent="0.2">
      <c r="D99" s="5" t="s">
        <v>704</v>
      </c>
    </row>
    <row r="100" spans="2:4" x14ac:dyDescent="0.2">
      <c r="D100" s="5" t="s">
        <v>710</v>
      </c>
    </row>
    <row r="101" spans="2:4" x14ac:dyDescent="0.2">
      <c r="D101" s="5" t="s">
        <v>711</v>
      </c>
    </row>
    <row r="102" spans="2:4" x14ac:dyDescent="0.2">
      <c r="D102" s="5" t="s">
        <v>712</v>
      </c>
    </row>
    <row r="103" spans="2:4" x14ac:dyDescent="0.2">
      <c r="B103" s="5" t="s">
        <v>822</v>
      </c>
    </row>
    <row r="104" spans="2:4" x14ac:dyDescent="0.2">
      <c r="D104" s="5" t="s">
        <v>823</v>
      </c>
    </row>
    <row r="105" spans="2:4" x14ac:dyDescent="0.2">
      <c r="D105" s="5" t="s">
        <v>719</v>
      </c>
    </row>
    <row r="106" spans="2:4" x14ac:dyDescent="0.2">
      <c r="D106" s="5" t="s">
        <v>824</v>
      </c>
    </row>
    <row r="107" spans="2:4" x14ac:dyDescent="0.2">
      <c r="D107" s="5" t="s">
        <v>825</v>
      </c>
    </row>
    <row r="108" spans="2:4" x14ac:dyDescent="0.2">
      <c r="D108" s="5" t="s">
        <v>712</v>
      </c>
    </row>
    <row r="109" spans="2:4" x14ac:dyDescent="0.2">
      <c r="B109" s="5" t="s">
        <v>826</v>
      </c>
    </row>
    <row r="110" spans="2:4" x14ac:dyDescent="0.2">
      <c r="D110" s="5" t="s">
        <v>709</v>
      </c>
    </row>
    <row r="111" spans="2:4" x14ac:dyDescent="0.2">
      <c r="D111" s="5" t="s">
        <v>704</v>
      </c>
    </row>
    <row r="112" spans="2:4" x14ac:dyDescent="0.2">
      <c r="D112" s="5" t="s">
        <v>710</v>
      </c>
    </row>
    <row r="113" spans="2:4" x14ac:dyDescent="0.2">
      <c r="D113" s="5" t="s">
        <v>711</v>
      </c>
    </row>
    <row r="114" spans="2:4" x14ac:dyDescent="0.2">
      <c r="D114" s="5" t="s">
        <v>712</v>
      </c>
    </row>
    <row r="115" spans="2:4" x14ac:dyDescent="0.2">
      <c r="B115" s="5" t="s">
        <v>827</v>
      </c>
    </row>
    <row r="116" spans="2:4" x14ac:dyDescent="0.2">
      <c r="D116" s="5" t="s">
        <v>709</v>
      </c>
    </row>
    <row r="117" spans="2:4" x14ac:dyDescent="0.2">
      <c r="D117" s="5" t="s">
        <v>704</v>
      </c>
    </row>
    <row r="118" spans="2:4" x14ac:dyDescent="0.2">
      <c r="D118" s="5" t="s">
        <v>710</v>
      </c>
    </row>
    <row r="119" spans="2:4" x14ac:dyDescent="0.2">
      <c r="D119" s="5" t="s">
        <v>711</v>
      </c>
    </row>
    <row r="120" spans="2:4" x14ac:dyDescent="0.2">
      <c r="D120" s="5" t="s">
        <v>712</v>
      </c>
    </row>
  </sheetData>
  <autoFilter ref="A18:H18"/>
  <conditionalFormatting sqref="C17">
    <cfRule type="cellIs" dxfId="91" priority="1" stopIfTrue="1" operator="equal">
      <formula>$B$10</formula>
    </cfRule>
    <cfRule type="cellIs" dxfId="9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5</v>
      </c>
      <c r="C2" s="15">
        <f>IF(ISERROR(VALUE(TRIM(CLEAN(MID(C20,FIND("(",C20)+1,FIND("/",C20,1)-FIND("(",C20)-1))))),0,VALUE(TRIM(CLEAN(MID(C20,FIND("(",C20)+1,FIND("/",C20,1)-FIND("(",C20)-1)))))</f>
        <v>5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8</v>
      </c>
      <c r="C4" s="16">
        <f>IF(ISERROR(VALUE(TRIM(CLEAN(MID(C23,FIND("(",C23)+1,FIND("/",C23,1)-FIND("(",C23)-1))))),0,VALUE(TRIM(CLEAN(MID(C23,FIND("(",C23)+1,FIND("/",C23,1)-FIND("(",C23)-1)))))</f>
        <v>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4</v>
      </c>
      <c r="C5" s="16">
        <f>IF(ISERROR(VALUE(TRIM(CLEAN(MID(C24,FIND("(",C24)+1,FIND("/",C24,1)-FIND("(",C24)-1))))),0,VALUE(TRIM(CLEAN(MID(C24,FIND("(",C24)+1,FIND("/",C24,1)-FIND("(",C24)-1)))))</f>
        <v>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18</v>
      </c>
      <c r="C7" s="17">
        <f>SUM(C2:C5)</f>
        <v>18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829</v>
      </c>
    </row>
    <row r="20" spans="1:8" x14ac:dyDescent="0.2">
      <c r="C20" s="5" t="s">
        <v>714</v>
      </c>
    </row>
    <row r="21" spans="1:8" x14ac:dyDescent="0.2">
      <c r="C21" s="5" t="s">
        <v>719</v>
      </c>
    </row>
    <row r="22" spans="1:8" x14ac:dyDescent="0.2">
      <c r="C22" s="5" t="s">
        <v>705</v>
      </c>
    </row>
    <row r="23" spans="1:8" x14ac:dyDescent="0.2">
      <c r="C23" s="5" t="s">
        <v>762</v>
      </c>
    </row>
    <row r="24" spans="1:8" x14ac:dyDescent="0.2">
      <c r="C24" s="5" t="s">
        <v>741</v>
      </c>
    </row>
    <row r="25" spans="1:8" x14ac:dyDescent="0.2">
      <c r="B25" s="5" t="s">
        <v>830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831</v>
      </c>
    </row>
    <row r="32" spans="1:8" x14ac:dyDescent="0.2">
      <c r="D32" s="5" t="s">
        <v>744</v>
      </c>
    </row>
    <row r="33" spans="4:4" x14ac:dyDescent="0.2">
      <c r="D33" s="5" t="s">
        <v>719</v>
      </c>
    </row>
    <row r="34" spans="4:4" x14ac:dyDescent="0.2">
      <c r="D34" s="5" t="s">
        <v>715</v>
      </c>
    </row>
    <row r="35" spans="4:4" x14ac:dyDescent="0.2">
      <c r="D35" s="5" t="s">
        <v>762</v>
      </c>
    </row>
    <row r="36" spans="4:4" x14ac:dyDescent="0.2">
      <c r="D36" s="5" t="s">
        <v>741</v>
      </c>
    </row>
  </sheetData>
  <autoFilter ref="A18:H18"/>
  <conditionalFormatting sqref="C17">
    <cfRule type="cellIs" dxfId="89" priority="1" stopIfTrue="1" operator="equal">
      <formula>$B$10</formula>
    </cfRule>
    <cfRule type="cellIs" dxfId="8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indexed="11"/>
  </sheetPr>
  <dimension ref="A1:H62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14</v>
      </c>
      <c r="C2" s="15">
        <f>IF(ISERROR(VALUE(TRIM(CLEAN(MID(C20,FIND("(",C20)+1,FIND("/",C20,1)-FIND("(",C20)-1))))),0,VALUE(TRIM(CLEAN(MID(C20,FIND("(",C20)+1,FIND("/",C20,1)-FIND("(",C20)-1)))))</f>
        <v>13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89</v>
      </c>
      <c r="C4" s="16">
        <f>IF(ISERROR(VALUE(TRIM(CLEAN(MID(C23,FIND("(",C23)+1,FIND("/",C23,1)-FIND("(",C23)-1))))),0,VALUE(TRIM(CLEAN(MID(C23,FIND("(",C23)+1,FIND("/",C23,1)-FIND("(",C23)-1)))))</f>
        <v>88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40</v>
      </c>
      <c r="C5" s="16">
        <f>IF(ISERROR(VALUE(TRIM(CLEAN(MID(C24,FIND("(",C24)+1,FIND("/",C24,1)-FIND("(",C24)-1))))),0,VALUE(TRIM(CLEAN(MID(C24,FIND("(",C24)+1,FIND("/",C24,1)-FIND("(",C24)-1)))))</f>
        <v>40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144</v>
      </c>
      <c r="C7" s="17">
        <f>SUM(C2:C5)</f>
        <v>142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2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2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2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833</v>
      </c>
    </row>
    <row r="20" spans="1:8" x14ac:dyDescent="0.2">
      <c r="C20" s="5" t="s">
        <v>834</v>
      </c>
    </row>
    <row r="21" spans="1:8" x14ac:dyDescent="0.2">
      <c r="C21" s="5" t="s">
        <v>719</v>
      </c>
    </row>
    <row r="22" spans="1:8" x14ac:dyDescent="0.2">
      <c r="C22" s="5" t="s">
        <v>835</v>
      </c>
    </row>
    <row r="23" spans="1:8" x14ac:dyDescent="0.2">
      <c r="C23" s="5" t="s">
        <v>836</v>
      </c>
    </row>
    <row r="24" spans="1:8" x14ac:dyDescent="0.2">
      <c r="C24" s="5" t="s">
        <v>837</v>
      </c>
    </row>
    <row r="25" spans="1:8" x14ac:dyDescent="0.2">
      <c r="B25" s="5" t="s">
        <v>838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839</v>
      </c>
    </row>
    <row r="32" spans="1:8" x14ac:dyDescent="0.2">
      <c r="D32" s="5" t="s">
        <v>709</v>
      </c>
    </row>
    <row r="33" spans="2:8" x14ac:dyDescent="0.2">
      <c r="D33" s="5" t="s">
        <v>704</v>
      </c>
    </row>
    <row r="34" spans="2:8" x14ac:dyDescent="0.2">
      <c r="D34" s="5" t="s">
        <v>710</v>
      </c>
    </row>
    <row r="35" spans="2:8" x14ac:dyDescent="0.2">
      <c r="D35" s="5" t="s">
        <v>711</v>
      </c>
    </row>
    <row r="36" spans="2:8" x14ac:dyDescent="0.2">
      <c r="D36" s="5" t="s">
        <v>712</v>
      </c>
    </row>
    <row r="37" spans="2:8" x14ac:dyDescent="0.2">
      <c r="B37" s="5" t="s">
        <v>840</v>
      </c>
    </row>
    <row r="38" spans="2:8" x14ac:dyDescent="0.2">
      <c r="D38" s="5" t="s">
        <v>709</v>
      </c>
    </row>
    <row r="39" spans="2:8" x14ac:dyDescent="0.2">
      <c r="D39" s="5" t="s">
        <v>704</v>
      </c>
    </row>
    <row r="40" spans="2:8" x14ac:dyDescent="0.2">
      <c r="D40" s="5" t="s">
        <v>710</v>
      </c>
    </row>
    <row r="41" spans="2:8" x14ac:dyDescent="0.2">
      <c r="D41" s="5" t="s">
        <v>711</v>
      </c>
    </row>
    <row r="42" spans="2:8" x14ac:dyDescent="0.2">
      <c r="D42" s="5" t="s">
        <v>712</v>
      </c>
    </row>
    <row r="43" spans="2:8" x14ac:dyDescent="0.2">
      <c r="B43" s="5" t="s">
        <v>841</v>
      </c>
    </row>
    <row r="44" spans="2:8" x14ac:dyDescent="0.2">
      <c r="D44" s="5" t="s">
        <v>842</v>
      </c>
    </row>
    <row r="45" spans="2:8" x14ac:dyDescent="0.2">
      <c r="E45" s="5" t="s">
        <v>843</v>
      </c>
      <c r="F45" s="5">
        <v>234</v>
      </c>
      <c r="G45" s="5" t="s">
        <v>19</v>
      </c>
      <c r="H45" s="5" t="s">
        <v>1244</v>
      </c>
    </row>
    <row r="46" spans="2:8" x14ac:dyDescent="0.2">
      <c r="D46" s="5" t="s">
        <v>719</v>
      </c>
    </row>
    <row r="47" spans="2:8" x14ac:dyDescent="0.2">
      <c r="D47" s="5" t="s">
        <v>844</v>
      </c>
    </row>
    <row r="48" spans="2:8" x14ac:dyDescent="0.2">
      <c r="D48" s="5" t="s">
        <v>845</v>
      </c>
    </row>
    <row r="49" spans="2:8" x14ac:dyDescent="0.2">
      <c r="E49" s="5" t="s">
        <v>846</v>
      </c>
      <c r="F49" s="5">
        <v>234</v>
      </c>
      <c r="G49" s="5" t="s">
        <v>19</v>
      </c>
      <c r="H49" s="5" t="s">
        <v>1244</v>
      </c>
    </row>
    <row r="50" spans="2:8" x14ac:dyDescent="0.2">
      <c r="D50" s="5" t="s">
        <v>803</v>
      </c>
    </row>
    <row r="51" spans="2:8" x14ac:dyDescent="0.2">
      <c r="B51" s="5" t="s">
        <v>847</v>
      </c>
    </row>
    <row r="52" spans="2:8" x14ac:dyDescent="0.2">
      <c r="D52" s="5" t="s">
        <v>709</v>
      </c>
    </row>
    <row r="53" spans="2:8" x14ac:dyDescent="0.2">
      <c r="D53" s="5" t="s">
        <v>704</v>
      </c>
    </row>
    <row r="54" spans="2:8" x14ac:dyDescent="0.2">
      <c r="D54" s="5" t="s">
        <v>710</v>
      </c>
    </row>
    <row r="55" spans="2:8" x14ac:dyDescent="0.2">
      <c r="D55" s="5" t="s">
        <v>711</v>
      </c>
    </row>
    <row r="56" spans="2:8" x14ac:dyDescent="0.2">
      <c r="D56" s="5" t="s">
        <v>712</v>
      </c>
    </row>
    <row r="57" spans="2:8" x14ac:dyDescent="0.2">
      <c r="B57" s="5" t="s">
        <v>848</v>
      </c>
    </row>
    <row r="58" spans="2:8" x14ac:dyDescent="0.2">
      <c r="D58" s="5" t="s">
        <v>709</v>
      </c>
    </row>
    <row r="59" spans="2:8" x14ac:dyDescent="0.2">
      <c r="D59" s="5" t="s">
        <v>704</v>
      </c>
    </row>
    <row r="60" spans="2:8" x14ac:dyDescent="0.2">
      <c r="D60" s="5" t="s">
        <v>710</v>
      </c>
    </row>
    <row r="61" spans="2:8" x14ac:dyDescent="0.2">
      <c r="D61" s="5" t="s">
        <v>849</v>
      </c>
    </row>
    <row r="62" spans="2:8" x14ac:dyDescent="0.2">
      <c r="D62" s="5" t="s">
        <v>850</v>
      </c>
    </row>
  </sheetData>
  <autoFilter ref="A18:H18"/>
  <conditionalFormatting sqref="C17">
    <cfRule type="cellIs" dxfId="87" priority="1" stopIfTrue="1" operator="equal">
      <formula>$B$10</formula>
    </cfRule>
    <cfRule type="cellIs" dxfId="8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</v>
      </c>
      <c r="C2" s="15">
        <f>IF(ISERROR(VALUE(TRIM(CLEAN(MID(C20,FIND("(",C20)+1,FIND("/",C20,1)-FIND("(",C20)-1))))),0,VALUE(TRIM(CLEAN(MID(C20,FIND("(",C20)+1,FIND("/",C20,1)-FIND("(",C20)-1)))))</f>
        <v>1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</v>
      </c>
      <c r="C7" s="17">
        <f>SUM(C2:C5)</f>
        <v>1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852</v>
      </c>
    </row>
    <row r="20" spans="1:8" x14ac:dyDescent="0.2">
      <c r="C20" s="5" t="s">
        <v>709</v>
      </c>
    </row>
    <row r="21" spans="1:8" x14ac:dyDescent="0.2">
      <c r="C21" s="5" t="s">
        <v>704</v>
      </c>
    </row>
    <row r="22" spans="1:8" x14ac:dyDescent="0.2">
      <c r="C22" s="5" t="s">
        <v>710</v>
      </c>
    </row>
    <row r="23" spans="1:8" x14ac:dyDescent="0.2">
      <c r="C23" s="5" t="s">
        <v>711</v>
      </c>
    </row>
    <row r="24" spans="1:8" x14ac:dyDescent="0.2">
      <c r="C24" s="5" t="s">
        <v>712</v>
      </c>
    </row>
    <row r="25" spans="1:8" x14ac:dyDescent="0.2">
      <c r="B25" s="5" t="s">
        <v>853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</sheetData>
  <autoFilter ref="A18:H18"/>
  <conditionalFormatting sqref="C17">
    <cfRule type="cellIs" dxfId="85" priority="1" stopIfTrue="1" operator="equal">
      <formula>$B$10</formula>
    </cfRule>
    <cfRule type="cellIs" dxfId="8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3</v>
      </c>
      <c r="C2" s="15">
        <f>IF(ISERROR(VALUE(TRIM(CLEAN(MID(C20,FIND("(",C20)+1,FIND("/",C20,1)-FIND("(",C20)-1))))),0,VALUE(TRIM(CLEAN(MID(C20,FIND("(",C20)+1,FIND("/",C20,1)-FIND("(",C20)-1)))))</f>
        <v>3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</v>
      </c>
      <c r="C4" s="16">
        <f>IF(ISERROR(VALUE(TRIM(CLEAN(MID(C23,FIND("(",C23)+1,FIND("/",C23,1)-FIND("(",C23)-1))))),0,VALUE(TRIM(CLEAN(MID(C23,FIND("(",C23)+1,FIND("/",C23,1)-FIND("(",C23)-1)))))</f>
        <v>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6</v>
      </c>
      <c r="C7" s="17">
        <f>SUM(C2:C5)</f>
        <v>6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855</v>
      </c>
    </row>
    <row r="20" spans="1:8" x14ac:dyDescent="0.2">
      <c r="C20" s="5" t="s">
        <v>812</v>
      </c>
    </row>
    <row r="21" spans="1:8" x14ac:dyDescent="0.2">
      <c r="C21" s="5" t="s">
        <v>719</v>
      </c>
    </row>
    <row r="22" spans="1:8" x14ac:dyDescent="0.2">
      <c r="C22" s="5" t="s">
        <v>856</v>
      </c>
    </row>
    <row r="23" spans="1:8" x14ac:dyDescent="0.2">
      <c r="C23" s="5" t="s">
        <v>814</v>
      </c>
    </row>
    <row r="24" spans="1:8" x14ac:dyDescent="0.2">
      <c r="C24" s="5" t="s">
        <v>712</v>
      </c>
    </row>
    <row r="25" spans="1:8" x14ac:dyDescent="0.2">
      <c r="B25" s="5" t="s">
        <v>857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858</v>
      </c>
    </row>
    <row r="32" spans="1:8" x14ac:dyDescent="0.2">
      <c r="D32" s="5" t="s">
        <v>787</v>
      </c>
    </row>
    <row r="33" spans="4:4" x14ac:dyDescent="0.2">
      <c r="D33" s="5" t="s">
        <v>719</v>
      </c>
    </row>
    <row r="34" spans="4:4" x14ac:dyDescent="0.2">
      <c r="D34" s="5" t="s">
        <v>813</v>
      </c>
    </row>
    <row r="35" spans="4:4" x14ac:dyDescent="0.2">
      <c r="D35" s="5" t="s">
        <v>814</v>
      </c>
    </row>
    <row r="36" spans="4:4" x14ac:dyDescent="0.2">
      <c r="D36" s="5" t="s">
        <v>712</v>
      </c>
    </row>
  </sheetData>
  <autoFilter ref="A18:H18"/>
  <conditionalFormatting sqref="C17">
    <cfRule type="cellIs" dxfId="83" priority="1" stopIfTrue="1" operator="equal">
      <formula>$B$10</formula>
    </cfRule>
    <cfRule type="cellIs" dxfId="8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indexed="11"/>
  </sheetPr>
  <dimension ref="A1:H30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</v>
      </c>
      <c r="C2" s="15">
        <f>IF(ISERROR(VALUE(TRIM(CLEAN(MID(C20,FIND("(",C20)+1,FIND("/",C20,1)-FIND("(",C20)-1))))),0,VALUE(TRIM(CLEAN(MID(C20,FIND("(",C20)+1,FIND("/",C20,1)-FIND("(",C20)-1)))))</f>
        <v>1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10</v>
      </c>
      <c r="C4" s="16">
        <f>IF(ISERROR(VALUE(TRIM(CLEAN(MID(C23,FIND("(",C23)+1,FIND("/",C23,1)-FIND("(",C23)-1))))),0,VALUE(TRIM(CLEAN(MID(C23,FIND("(",C23)+1,FIND("/",C23,1)-FIND("(",C23)-1)))))</f>
        <v>10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5</v>
      </c>
      <c r="C5" s="16">
        <f>IF(ISERROR(VALUE(TRIM(CLEAN(MID(C24,FIND("(",C24)+1,FIND("/",C24,1)-FIND("(",C24)-1))))),0,VALUE(TRIM(CLEAN(MID(C24,FIND("(",C24)+1,FIND("/",C24,1)-FIND("(",C24)-1)))))</f>
        <v>5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16</v>
      </c>
      <c r="C7" s="17">
        <f>SUM(C2:C5)</f>
        <v>16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860</v>
      </c>
    </row>
    <row r="20" spans="1:8" x14ac:dyDescent="0.2">
      <c r="C20" s="5" t="s">
        <v>709</v>
      </c>
    </row>
    <row r="21" spans="1:8" x14ac:dyDescent="0.2">
      <c r="C21" s="5" t="s">
        <v>704</v>
      </c>
    </row>
    <row r="22" spans="1:8" x14ac:dyDescent="0.2">
      <c r="C22" s="5" t="s">
        <v>710</v>
      </c>
    </row>
    <row r="23" spans="1:8" x14ac:dyDescent="0.2">
      <c r="C23" s="5" t="s">
        <v>861</v>
      </c>
    </row>
    <row r="24" spans="1:8" x14ac:dyDescent="0.2">
      <c r="C24" s="5" t="s">
        <v>780</v>
      </c>
    </row>
    <row r="25" spans="1:8" x14ac:dyDescent="0.2">
      <c r="B25" s="5" t="s">
        <v>862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861</v>
      </c>
    </row>
    <row r="30" spans="1:8" x14ac:dyDescent="0.2">
      <c r="D30" s="5" t="s">
        <v>780</v>
      </c>
    </row>
  </sheetData>
  <autoFilter ref="A18:H18"/>
  <conditionalFormatting sqref="C17">
    <cfRule type="cellIs" dxfId="81" priority="1" stopIfTrue="1" operator="equal">
      <formula>$B$10</formula>
    </cfRule>
    <cfRule type="cellIs" dxfId="8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14</v>
      </c>
      <c r="C2" s="15">
        <f>IF(ISERROR(VALUE(TRIM(CLEAN(MID(C20,FIND("(",C20)+1,FIND("/",C20,1)-FIND("(",C20)-1))))),0,VALUE(TRIM(CLEAN(MID(C20,FIND("(",C20)+1,FIND("/",C20,1)-FIND("(",C20)-1)))))</f>
        <v>14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12</v>
      </c>
      <c r="C4" s="16">
        <f>IF(ISERROR(VALUE(TRIM(CLEAN(MID(C23,FIND("(",C23)+1,FIND("/",C23,1)-FIND("(",C23)-1))))),0,VALUE(TRIM(CLEAN(MID(C23,FIND("(",C23)+1,FIND("/",C23,1)-FIND("(",C23)-1)))))</f>
        <v>12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26</v>
      </c>
      <c r="C7" s="17">
        <f>SUM(C2:C5)</f>
        <v>26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864</v>
      </c>
    </row>
    <row r="20" spans="1:8" x14ac:dyDescent="0.2">
      <c r="C20" s="5" t="s">
        <v>865</v>
      </c>
    </row>
    <row r="21" spans="1:8" x14ac:dyDescent="0.2">
      <c r="C21" s="5" t="s">
        <v>704</v>
      </c>
    </row>
    <row r="22" spans="1:8" x14ac:dyDescent="0.2">
      <c r="C22" s="5" t="s">
        <v>866</v>
      </c>
    </row>
    <row r="23" spans="1:8" x14ac:dyDescent="0.2">
      <c r="C23" s="5" t="s">
        <v>825</v>
      </c>
    </row>
    <row r="24" spans="1:8" x14ac:dyDescent="0.2">
      <c r="C24" s="5" t="s">
        <v>712</v>
      </c>
    </row>
    <row r="25" spans="1:8" x14ac:dyDescent="0.2">
      <c r="B25" s="5" t="s">
        <v>867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868</v>
      </c>
    </row>
    <row r="32" spans="1:8" x14ac:dyDescent="0.2">
      <c r="D32" s="5" t="s">
        <v>869</v>
      </c>
    </row>
    <row r="33" spans="4:4" x14ac:dyDescent="0.2">
      <c r="D33" s="5" t="s">
        <v>704</v>
      </c>
    </row>
    <row r="34" spans="4:4" x14ac:dyDescent="0.2">
      <c r="D34" s="5" t="s">
        <v>824</v>
      </c>
    </row>
    <row r="35" spans="4:4" x14ac:dyDescent="0.2">
      <c r="D35" s="5" t="s">
        <v>825</v>
      </c>
    </row>
    <row r="36" spans="4:4" x14ac:dyDescent="0.2">
      <c r="D36" s="5" t="s">
        <v>712</v>
      </c>
    </row>
  </sheetData>
  <autoFilter ref="A18:H18"/>
  <conditionalFormatting sqref="C17">
    <cfRule type="cellIs" dxfId="79" priority="1" stopIfTrue="1" operator="equal">
      <formula>$B$10</formula>
    </cfRule>
    <cfRule type="cellIs" dxfId="7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19</v>
      </c>
      <c r="C2" s="15">
        <f>IF(ISERROR(VALUE(TRIM(CLEAN(MID(C20,FIND("(",C20)+1,FIND("/",C20,1)-FIND("(",C20)-1))))),0,VALUE(TRIM(CLEAN(MID(C20,FIND("(",C20)+1,FIND("/",C20,1)-FIND("(",C20)-1)))))</f>
        <v>19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24</v>
      </c>
      <c r="C4" s="16">
        <f>IF(ISERROR(VALUE(TRIM(CLEAN(MID(C23,FIND("(",C23)+1,FIND("/",C23,1)-FIND("(",C23)-1))))),0,VALUE(TRIM(CLEAN(MID(C23,FIND("(",C23)+1,FIND("/",C23,1)-FIND("(",C23)-1)))))</f>
        <v>24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44</v>
      </c>
      <c r="C7" s="17">
        <f>SUM(C2:C5)</f>
        <v>44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871</v>
      </c>
    </row>
    <row r="20" spans="1:8" x14ac:dyDescent="0.2">
      <c r="C20" s="5" t="s">
        <v>872</v>
      </c>
    </row>
    <row r="21" spans="1:8" x14ac:dyDescent="0.2">
      <c r="C21" s="5" t="s">
        <v>719</v>
      </c>
    </row>
    <row r="22" spans="1:8" x14ac:dyDescent="0.2">
      <c r="C22" s="5" t="s">
        <v>873</v>
      </c>
    </row>
    <row r="23" spans="1:8" x14ac:dyDescent="0.2">
      <c r="C23" s="5" t="s">
        <v>874</v>
      </c>
    </row>
    <row r="24" spans="1:8" x14ac:dyDescent="0.2">
      <c r="C24" s="5" t="s">
        <v>712</v>
      </c>
    </row>
    <row r="25" spans="1:8" x14ac:dyDescent="0.2">
      <c r="B25" s="5" t="s">
        <v>875</v>
      </c>
    </row>
    <row r="26" spans="1:8" x14ac:dyDescent="0.2">
      <c r="D26" s="5" t="s">
        <v>872</v>
      </c>
    </row>
    <row r="27" spans="1:8" x14ac:dyDescent="0.2">
      <c r="D27" s="5" t="s">
        <v>719</v>
      </c>
    </row>
    <row r="28" spans="1:8" x14ac:dyDescent="0.2">
      <c r="D28" s="5" t="s">
        <v>873</v>
      </c>
    </row>
    <row r="29" spans="1:8" x14ac:dyDescent="0.2">
      <c r="D29" s="5" t="s">
        <v>874</v>
      </c>
    </row>
    <row r="30" spans="1:8" x14ac:dyDescent="0.2">
      <c r="D30" s="5" t="s">
        <v>712</v>
      </c>
    </row>
  </sheetData>
  <autoFilter ref="A18:H18"/>
  <conditionalFormatting sqref="C17">
    <cfRule type="cellIs" dxfId="77" priority="1" stopIfTrue="1" operator="equal">
      <formula>$B$10</formula>
    </cfRule>
    <cfRule type="cellIs" dxfId="7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</v>
      </c>
      <c r="C2" s="15">
        <f>IF(ISERROR(VALUE(TRIM(CLEAN(MID(C20,FIND("(",C20)+1,FIND("/",C20,1)-FIND("(",C20)-1))))),0,VALUE(TRIM(CLEAN(MID(C20,FIND("(",C20)+1,FIND("/",C20,1)-FIND("(",C20)-1)))))</f>
        <v>1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20</v>
      </c>
      <c r="C4" s="16">
        <f>IF(ISERROR(VALUE(TRIM(CLEAN(MID(C23,FIND("(",C23)+1,FIND("/",C23,1)-FIND("(",C23)-1))))),0,VALUE(TRIM(CLEAN(MID(C23,FIND("(",C23)+1,FIND("/",C23,1)-FIND("(",C23)-1)))))</f>
        <v>20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10</v>
      </c>
      <c r="C5" s="16">
        <f>IF(ISERROR(VALUE(TRIM(CLEAN(MID(C24,FIND("(",C24)+1,FIND("/",C24,1)-FIND("(",C24)-1))))),0,VALUE(TRIM(CLEAN(MID(C24,FIND("(",C24)+1,FIND("/",C24,1)-FIND("(",C24)-1)))))</f>
        <v>10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31</v>
      </c>
      <c r="C7" s="17">
        <f>SUM(C2:C5)</f>
        <v>31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877</v>
      </c>
    </row>
    <row r="20" spans="1:8" x14ac:dyDescent="0.2">
      <c r="C20" s="5" t="s">
        <v>709</v>
      </c>
    </row>
    <row r="21" spans="1:8" x14ac:dyDescent="0.2">
      <c r="C21" s="5" t="s">
        <v>704</v>
      </c>
    </row>
    <row r="22" spans="1:8" x14ac:dyDescent="0.2">
      <c r="C22" s="5" t="s">
        <v>710</v>
      </c>
    </row>
    <row r="23" spans="1:8" x14ac:dyDescent="0.2">
      <c r="C23" s="5" t="s">
        <v>878</v>
      </c>
    </row>
    <row r="24" spans="1:8" x14ac:dyDescent="0.2">
      <c r="C24" s="5" t="s">
        <v>879</v>
      </c>
    </row>
    <row r="25" spans="1:8" x14ac:dyDescent="0.2">
      <c r="B25" s="5" t="s">
        <v>880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878</v>
      </c>
    </row>
    <row r="30" spans="1:8" x14ac:dyDescent="0.2">
      <c r="D30" s="5" t="s">
        <v>879</v>
      </c>
    </row>
  </sheetData>
  <autoFilter ref="A18:H18"/>
  <conditionalFormatting sqref="C17">
    <cfRule type="cellIs" dxfId="75" priority="1" stopIfTrue="1" operator="equal">
      <formula>$B$10</formula>
    </cfRule>
    <cfRule type="cellIs" dxfId="7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</v>
      </c>
      <c r="C2" s="15">
        <f>IF(ISERROR(VALUE(TRIM(CLEAN(MID(C20,FIND("(",C20)+1,FIND("/",C20,1)-FIND("(",C20)-1))))),0,VALUE(TRIM(CLEAN(MID(C20,FIND("(",C20)+1,FIND("/",C20,1)-FIND("(",C20)-1)))))</f>
        <v>1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20</v>
      </c>
      <c r="C4" s="16">
        <f>IF(ISERROR(VALUE(TRIM(CLEAN(MID(C23,FIND("(",C23)+1,FIND("/",C23,1)-FIND("(",C23)-1))))),0,VALUE(TRIM(CLEAN(MID(C23,FIND("(",C23)+1,FIND("/",C23,1)-FIND("(",C23)-1)))))</f>
        <v>20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10</v>
      </c>
      <c r="C5" s="16">
        <f>IF(ISERROR(VALUE(TRIM(CLEAN(MID(C24,FIND("(",C24)+1,FIND("/",C24,1)-FIND("(",C24)-1))))),0,VALUE(TRIM(CLEAN(MID(C24,FIND("(",C24)+1,FIND("/",C24,1)-FIND("(",C24)-1)))))</f>
        <v>10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31</v>
      </c>
      <c r="C7" s="17">
        <f>SUM(C2:C5)</f>
        <v>31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882</v>
      </c>
    </row>
    <row r="20" spans="1:8" x14ac:dyDescent="0.2">
      <c r="C20" s="5" t="s">
        <v>709</v>
      </c>
    </row>
    <row r="21" spans="1:8" x14ac:dyDescent="0.2">
      <c r="C21" s="5" t="s">
        <v>704</v>
      </c>
    </row>
    <row r="22" spans="1:8" x14ac:dyDescent="0.2">
      <c r="C22" s="5" t="s">
        <v>710</v>
      </c>
    </row>
    <row r="23" spans="1:8" x14ac:dyDescent="0.2">
      <c r="C23" s="5" t="s">
        <v>878</v>
      </c>
    </row>
    <row r="24" spans="1:8" x14ac:dyDescent="0.2">
      <c r="C24" s="5" t="s">
        <v>879</v>
      </c>
    </row>
    <row r="25" spans="1:8" x14ac:dyDescent="0.2">
      <c r="B25" s="5" t="s">
        <v>883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878</v>
      </c>
    </row>
    <row r="30" spans="1:8" x14ac:dyDescent="0.2">
      <c r="D30" s="5" t="s">
        <v>879</v>
      </c>
    </row>
  </sheetData>
  <autoFilter ref="A18:H18"/>
  <conditionalFormatting sqref="C17">
    <cfRule type="cellIs" dxfId="73" priority="1" stopIfTrue="1" operator="equal">
      <formula>$B$10</formula>
    </cfRule>
    <cfRule type="cellIs" dxfId="7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>
    <tabColor indexed="11"/>
  </sheetPr>
  <dimension ref="A1:H32"/>
  <sheetViews>
    <sheetView workbookViewId="0">
      <selection activeCell="E4" sqref="E4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28</v>
      </c>
      <c r="C2" s="15">
        <f>IF(ISERROR(VALUE(TRIM(CLEAN(MID(C20,FIND("(",C20)+1,FIND("/",C20,1)-FIND("(",C20)-1))))),0,VALUE(TRIM(CLEAN(MID(C20,FIND("(",C20)+1,FIND("/",C20,1)-FIND("(",C20)-1)))))</f>
        <v>27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9</v>
      </c>
      <c r="C3" s="16">
        <f>IF(ISERROR(VALUE(TRIM(CLEAN(MID(C21,FIND("(",C21)+1,FIND("/",C21,1)-FIND("(",C21)-1))))),0,VALUE(TRIM(CLEAN(MID(C21,FIND("(",C21)+1,FIND("/",C21,1)-FIND("(",C21)-1)))))</f>
        <v>9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43</v>
      </c>
      <c r="C4" s="16">
        <f>IF(ISERROR(VALUE(TRIM(CLEAN(MID(C23,FIND("(",C23)+1,FIND("/",C23,1)-FIND("(",C23)-1))))),0,VALUE(TRIM(CLEAN(MID(C23,FIND("(",C23)+1,FIND("/",C23,1)-FIND("(",C23)-1)))))</f>
        <v>42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80</v>
      </c>
      <c r="C7" s="17">
        <f>SUM(C2:C5)</f>
        <v>78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2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2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2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885</v>
      </c>
    </row>
    <row r="20" spans="1:8" x14ac:dyDescent="0.2">
      <c r="C20" s="5" t="s">
        <v>1251</v>
      </c>
    </row>
    <row r="21" spans="1:8" x14ac:dyDescent="0.2">
      <c r="C21" s="5" t="s">
        <v>886</v>
      </c>
    </row>
    <row r="22" spans="1:8" x14ac:dyDescent="0.2">
      <c r="C22" s="5" t="s">
        <v>1252</v>
      </c>
    </row>
    <row r="23" spans="1:8" x14ac:dyDescent="0.2">
      <c r="C23" s="5" t="s">
        <v>1253</v>
      </c>
    </row>
    <row r="24" spans="1:8" x14ac:dyDescent="0.2">
      <c r="C24" s="5" t="s">
        <v>712</v>
      </c>
    </row>
    <row r="25" spans="1:8" x14ac:dyDescent="0.2">
      <c r="B25" s="5" t="s">
        <v>887</v>
      </c>
    </row>
    <row r="26" spans="1:8" x14ac:dyDescent="0.2">
      <c r="D26" s="5" t="s">
        <v>1251</v>
      </c>
    </row>
    <row r="27" spans="1:8" ht="409.5" x14ac:dyDescent="0.2">
      <c r="E27" s="5" t="s">
        <v>888</v>
      </c>
      <c r="G27" s="5" t="s">
        <v>23</v>
      </c>
      <c r="H27" s="59" t="s">
        <v>1257</v>
      </c>
    </row>
    <row r="28" spans="1:8" x14ac:dyDescent="0.2">
      <c r="D28" s="5" t="s">
        <v>886</v>
      </c>
    </row>
    <row r="29" spans="1:8" x14ac:dyDescent="0.2">
      <c r="D29" s="5" t="s">
        <v>1252</v>
      </c>
    </row>
    <row r="30" spans="1:8" x14ac:dyDescent="0.2">
      <c r="D30" s="5" t="s">
        <v>1253</v>
      </c>
    </row>
    <row r="31" spans="1:8" ht="409.5" x14ac:dyDescent="0.2">
      <c r="E31" s="5" t="s">
        <v>889</v>
      </c>
      <c r="G31" s="5" t="s">
        <v>23</v>
      </c>
      <c r="H31" s="59" t="s">
        <v>1257</v>
      </c>
    </row>
    <row r="32" spans="1:8" x14ac:dyDescent="0.2">
      <c r="D32" s="5" t="s">
        <v>712</v>
      </c>
    </row>
  </sheetData>
  <autoFilter ref="A18:H18"/>
  <conditionalFormatting sqref="C17">
    <cfRule type="cellIs" dxfId="71" priority="1" stopIfTrue="1" operator="equal">
      <formula>$B$10</formula>
    </cfRule>
    <cfRule type="cellIs" dxfId="7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indexed="11"/>
  </sheetPr>
  <dimension ref="A1:H36"/>
  <sheetViews>
    <sheetView workbookViewId="0">
      <selection activeCell="E4" sqref="E4"/>
    </sheetView>
  </sheetViews>
  <sheetFormatPr defaultRowHeight="12.75" x14ac:dyDescent="0.2"/>
  <cols>
    <col min="1" max="1" width="12" style="33" customWidth="1"/>
    <col min="2" max="2" width="9.5703125" style="33" customWidth="1"/>
    <col min="3" max="3" width="10.28515625" style="33" customWidth="1"/>
    <col min="4" max="4" width="11" style="33" customWidth="1"/>
    <col min="5" max="5" width="53.42578125" style="33" customWidth="1"/>
    <col min="6" max="6" width="8.85546875" style="33" customWidth="1"/>
    <col min="7" max="7" width="13.28515625" style="33" customWidth="1"/>
    <col min="8" max="8" width="51.85546875" style="33" customWidth="1"/>
    <col min="9" max="16384" width="9.140625" style="51"/>
  </cols>
  <sheetData>
    <row r="1" spans="1:5" ht="23.25" thickBot="1" x14ac:dyDescent="0.25">
      <c r="A1" s="31"/>
      <c r="B1" s="32" t="s">
        <v>11</v>
      </c>
      <c r="C1" s="32" t="s">
        <v>12</v>
      </c>
    </row>
    <row r="2" spans="1:5" ht="22.5" x14ac:dyDescent="0.2">
      <c r="A2" s="34" t="s">
        <v>14</v>
      </c>
      <c r="B2" s="35">
        <f>IF(ISERROR(VALUE(TRIM(CLEAN(MID(C20,FIND("/",C20)+1,FIND(")",C20,1)-FIND("/",C20)-1))))),0,VALUE(TRIM(CLEAN(MID(C20,FIND("/",C20)+1,FIND(")",C20,1)-FIND("/",C20)-1)))))</f>
        <v>21</v>
      </c>
      <c r="C2" s="36">
        <f>IF(ISERROR(VALUE(TRIM(CLEAN(MID(C20,FIND("(",C20)+1,FIND("/",C20,1)-FIND("(",C20)-1))))),0,VALUE(TRIM(CLEAN(MID(C20,FIND("(",C20)+1,FIND("/",C20,1)-FIND("(",C20)-1)))))</f>
        <v>21</v>
      </c>
    </row>
    <row r="3" spans="1:5" ht="22.5" x14ac:dyDescent="0.2">
      <c r="A3" s="37" t="s">
        <v>15</v>
      </c>
      <c r="B3" s="38">
        <f>IF(ISERROR(VALUE(TRIM(CLEAN(MID(C21,FIND("/",C21)+1,FIND(")",C21,1)-FIND("/",C21)-1))))),0,VALUE(TRIM(CLEAN(MID(C21,FIND("/",C21)+1,FIND(")",C21,1)-FIND("/",C21)-1)))))</f>
        <v>3</v>
      </c>
      <c r="C3" s="39">
        <f>IF(ISERROR(VALUE(TRIM(CLEAN(MID(C21,FIND("(",C21)+1,FIND("/",C21,1)-FIND("(",C21)-1))))),0,VALUE(TRIM(CLEAN(MID(C21,FIND("(",C21)+1,FIND("/",C21,1)-FIND("(",C21)-1)))))</f>
        <v>3</v>
      </c>
      <c r="E3" s="29" t="s">
        <v>1</v>
      </c>
    </row>
    <row r="4" spans="1:5" ht="22.5" x14ac:dyDescent="0.2">
      <c r="A4" s="37" t="s">
        <v>16</v>
      </c>
      <c r="B4" s="38">
        <f>IF(ISERROR(VALUE(TRIM(CLEAN(MID(C23,FIND("/",C23)+1,FIND(")",C23,1)-FIND("/",C23)-1))))),0,VALUE(TRIM(CLEAN(MID(C23,FIND("/",C23)+1,FIND(")",C23,1)-FIND("/",C23)-1)))))</f>
        <v>23</v>
      </c>
      <c r="C4" s="39">
        <f>IF(ISERROR(VALUE(TRIM(CLEAN(MID(C23,FIND("(",C23)+1,FIND("/",C23,1)-FIND("(",C23)-1))))),0,VALUE(TRIM(CLEAN(MID(C23,FIND("(",C23)+1,FIND("/",C23,1)-FIND("(",C23)-1)))))</f>
        <v>23</v>
      </c>
      <c r="E4" s="29" t="s">
        <v>2</v>
      </c>
    </row>
    <row r="5" spans="1:5" ht="22.5" x14ac:dyDescent="0.2">
      <c r="A5" s="37" t="s">
        <v>17</v>
      </c>
      <c r="B5" s="38">
        <f>IF(ISERROR(VALUE(TRIM(CLEAN(MID(C24,FIND("/",C24)+1,FIND(")",C24,1)-FIND("/",C24)-1))))),0,VALUE(TRIM(CLEAN(MID(C24,FIND("/",C24)+1,FIND(")",C24,1)-FIND("/",C24)-1)))))</f>
        <v>0</v>
      </c>
      <c r="C5" s="39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37"/>
      <c r="B6" s="38"/>
      <c r="C6" s="39"/>
    </row>
    <row r="7" spans="1:5" ht="13.5" thickBot="1" x14ac:dyDescent="0.25">
      <c r="A7" s="40" t="s">
        <v>13</v>
      </c>
      <c r="B7" s="41">
        <f>SUM(B2:B5)</f>
        <v>47</v>
      </c>
      <c r="C7" s="42">
        <f>SUM(C2:C5)</f>
        <v>47</v>
      </c>
    </row>
    <row r="8" spans="1:5" x14ac:dyDescent="0.2">
      <c r="A8" s="43"/>
      <c r="B8" s="44"/>
      <c r="C8" s="44"/>
    </row>
    <row r="9" spans="1:5" ht="13.5" thickBot="1" x14ac:dyDescent="0.25">
      <c r="A9" s="45"/>
      <c r="B9" s="44"/>
      <c r="C9" s="44"/>
    </row>
    <row r="10" spans="1:5" ht="24" thickTop="1" thickBot="1" x14ac:dyDescent="0.25">
      <c r="A10" s="46" t="s">
        <v>18</v>
      </c>
      <c r="B10" s="47">
        <f>B7-C7</f>
        <v>0</v>
      </c>
      <c r="C10" s="48"/>
    </row>
    <row r="11" spans="1:5" ht="13.5" thickBot="1" x14ac:dyDescent="0.25">
      <c r="A11" s="49" t="s">
        <v>21</v>
      </c>
      <c r="B11" s="50"/>
      <c r="C11" s="50">
        <f t="shared" ref="C11:C16" si="0">COUNTIF(G:G,A11)</f>
        <v>0</v>
      </c>
    </row>
    <row r="12" spans="1:5" ht="23.25" thickBot="1" x14ac:dyDescent="0.25">
      <c r="A12" s="49" t="s">
        <v>22</v>
      </c>
      <c r="B12" s="50"/>
      <c r="C12" s="50">
        <f t="shared" si="0"/>
        <v>0</v>
      </c>
    </row>
    <row r="13" spans="1:5" ht="23.25" thickBot="1" x14ac:dyDescent="0.25">
      <c r="A13" s="49" t="s">
        <v>23</v>
      </c>
      <c r="B13" s="50"/>
      <c r="C13" s="50">
        <f t="shared" si="0"/>
        <v>0</v>
      </c>
    </row>
    <row r="14" spans="1:5" ht="23.25" thickBot="1" x14ac:dyDescent="0.25">
      <c r="A14" s="49" t="s">
        <v>24</v>
      </c>
      <c r="B14" s="50"/>
      <c r="C14" s="50">
        <f t="shared" si="0"/>
        <v>0</v>
      </c>
    </row>
    <row r="15" spans="1:5" ht="13.5" thickBot="1" x14ac:dyDescent="0.25">
      <c r="A15" s="49" t="s">
        <v>19</v>
      </c>
      <c r="B15" s="50"/>
      <c r="C15" s="50">
        <f t="shared" si="0"/>
        <v>0</v>
      </c>
    </row>
    <row r="16" spans="1:5" ht="23.25" thickBot="1" x14ac:dyDescent="0.25">
      <c r="A16" s="49" t="s">
        <v>20</v>
      </c>
      <c r="B16" s="50"/>
      <c r="C16" s="50">
        <f t="shared" si="0"/>
        <v>0</v>
      </c>
    </row>
    <row r="17" spans="1:8" x14ac:dyDescent="0.2">
      <c r="C17" s="33">
        <f>SUM(C11:C16)</f>
        <v>0</v>
      </c>
    </row>
    <row r="18" spans="1:8" s="58" customFormat="1" ht="23.25" x14ac:dyDescent="0.25">
      <c r="A18" s="52" t="s">
        <v>3</v>
      </c>
      <c r="B18" s="53" t="s">
        <v>4</v>
      </c>
      <c r="C18" s="54" t="s">
        <v>6</v>
      </c>
      <c r="D18" s="54" t="s">
        <v>7</v>
      </c>
      <c r="E18" s="54" t="s">
        <v>5</v>
      </c>
      <c r="F18" s="55" t="s">
        <v>10</v>
      </c>
      <c r="G18" s="56" t="s">
        <v>9</v>
      </c>
      <c r="H18" s="57" t="s">
        <v>8</v>
      </c>
    </row>
    <row r="19" spans="1:8" x14ac:dyDescent="0.2">
      <c r="A19" s="33" t="s">
        <v>891</v>
      </c>
    </row>
    <row r="20" spans="1:8" x14ac:dyDescent="0.2">
      <c r="C20" s="33" t="s">
        <v>1105</v>
      </c>
    </row>
    <row r="21" spans="1:8" x14ac:dyDescent="0.2">
      <c r="C21" s="33" t="s">
        <v>738</v>
      </c>
    </row>
    <row r="22" spans="1:8" x14ac:dyDescent="0.2">
      <c r="C22" s="33" t="s">
        <v>1102</v>
      </c>
    </row>
    <row r="23" spans="1:8" x14ac:dyDescent="0.2">
      <c r="C23" s="33" t="s">
        <v>1256</v>
      </c>
    </row>
    <row r="24" spans="1:8" x14ac:dyDescent="0.2">
      <c r="C24" s="33" t="s">
        <v>712</v>
      </c>
    </row>
    <row r="25" spans="1:8" x14ac:dyDescent="0.2">
      <c r="B25" s="33" t="s">
        <v>892</v>
      </c>
    </row>
    <row r="26" spans="1:8" x14ac:dyDescent="0.2">
      <c r="D26" s="33" t="s">
        <v>953</v>
      </c>
    </row>
    <row r="27" spans="1:8" x14ac:dyDescent="0.2">
      <c r="D27" s="33" t="s">
        <v>795</v>
      </c>
    </row>
    <row r="28" spans="1:8" x14ac:dyDescent="0.2">
      <c r="D28" s="33" t="s">
        <v>957</v>
      </c>
    </row>
    <row r="29" spans="1:8" x14ac:dyDescent="0.2">
      <c r="D29" s="33" t="s">
        <v>762</v>
      </c>
    </row>
    <row r="30" spans="1:8" x14ac:dyDescent="0.2">
      <c r="D30" s="33" t="s">
        <v>712</v>
      </c>
    </row>
    <row r="31" spans="1:8" x14ac:dyDescent="0.2">
      <c r="B31" s="33" t="s">
        <v>893</v>
      </c>
    </row>
    <row r="32" spans="1:8" x14ac:dyDescent="0.2">
      <c r="D32" s="33" t="s">
        <v>865</v>
      </c>
    </row>
    <row r="33" spans="4:4" x14ac:dyDescent="0.2">
      <c r="D33" s="33" t="s">
        <v>719</v>
      </c>
    </row>
    <row r="34" spans="4:4" x14ac:dyDescent="0.2">
      <c r="D34" s="33" t="s">
        <v>1254</v>
      </c>
    </row>
    <row r="35" spans="4:4" x14ac:dyDescent="0.2">
      <c r="D35" s="33" t="s">
        <v>1255</v>
      </c>
    </row>
    <row r="36" spans="4:4" x14ac:dyDescent="0.2">
      <c r="D36" s="33" t="s">
        <v>712</v>
      </c>
    </row>
  </sheetData>
  <autoFilter ref="A18:H18"/>
  <conditionalFormatting sqref="C17">
    <cfRule type="cellIs" dxfId="1" priority="1" stopIfTrue="1" operator="equal">
      <formula>$B$10</formula>
    </cfRule>
    <cfRule type="cellIs" dxfId="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indexed="11"/>
  </sheetPr>
  <dimension ref="A1:H7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51</v>
      </c>
      <c r="C2" s="15">
        <f>IF(ISERROR(VALUE(TRIM(CLEAN(MID(C20,FIND("(",C20)+1,FIND("/",C20,1)-FIND("(",C20)-1))))),0,VALUE(TRIM(CLEAN(MID(C20,FIND("(",C20)+1,FIND("/",C20,1)-FIND("(",C20)-1)))))</f>
        <v>51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3</v>
      </c>
      <c r="C3" s="16">
        <f>IF(ISERROR(VALUE(TRIM(CLEAN(MID(C21,FIND("(",C21)+1,FIND("/",C21,1)-FIND("(",C21)-1))))),0,VALUE(TRIM(CLEAN(MID(C21,FIND("(",C21)+1,FIND("/",C21,1)-FIND("(",C21)-1)))))</f>
        <v>3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93</v>
      </c>
      <c r="C4" s="16">
        <f>IF(ISERROR(VALUE(TRIM(CLEAN(MID(C23,FIND("(",C23)+1,FIND("/",C23,1)-FIND("(",C23)-1))))),0,VALUE(TRIM(CLEAN(MID(C23,FIND("(",C23)+1,FIND("/",C23,1)-FIND("(",C23)-1)))))</f>
        <v>93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33</v>
      </c>
      <c r="C5" s="16">
        <f>IF(ISERROR(VALUE(TRIM(CLEAN(MID(C24,FIND("(",C24)+1,FIND("/",C24,1)-FIND("(",C24)-1))))),0,VALUE(TRIM(CLEAN(MID(C24,FIND("(",C24)+1,FIND("/",C24,1)-FIND("(",C24)-1)))))</f>
        <v>33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180</v>
      </c>
      <c r="C7" s="17">
        <f>SUM(C2:C5)</f>
        <v>180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895</v>
      </c>
    </row>
    <row r="20" spans="1:8" x14ac:dyDescent="0.2">
      <c r="C20" s="5" t="s">
        <v>896</v>
      </c>
    </row>
    <row r="21" spans="1:8" x14ac:dyDescent="0.2">
      <c r="C21" s="5" t="s">
        <v>738</v>
      </c>
    </row>
    <row r="22" spans="1:8" x14ac:dyDescent="0.2">
      <c r="C22" s="5" t="s">
        <v>897</v>
      </c>
    </row>
    <row r="23" spans="1:8" x14ac:dyDescent="0.2">
      <c r="C23" s="5" t="s">
        <v>898</v>
      </c>
    </row>
    <row r="24" spans="1:8" x14ac:dyDescent="0.2">
      <c r="C24" s="5" t="s">
        <v>899</v>
      </c>
    </row>
    <row r="25" spans="1:8" x14ac:dyDescent="0.2">
      <c r="B25" s="5" t="s">
        <v>900</v>
      </c>
    </row>
    <row r="26" spans="1:8" x14ac:dyDescent="0.2">
      <c r="D26" s="5" t="s">
        <v>823</v>
      </c>
    </row>
    <row r="27" spans="1:8" x14ac:dyDescent="0.2">
      <c r="D27" s="5" t="s">
        <v>719</v>
      </c>
    </row>
    <row r="28" spans="1:8" x14ac:dyDescent="0.2">
      <c r="D28" s="5" t="s">
        <v>824</v>
      </c>
    </row>
    <row r="29" spans="1:8" x14ac:dyDescent="0.2">
      <c r="D29" s="5" t="s">
        <v>825</v>
      </c>
    </row>
    <row r="30" spans="1:8" x14ac:dyDescent="0.2">
      <c r="D30" s="5" t="s">
        <v>712</v>
      </c>
    </row>
    <row r="31" spans="1:8" x14ac:dyDescent="0.2">
      <c r="B31" s="5" t="s">
        <v>901</v>
      </c>
    </row>
    <row r="32" spans="1:8" x14ac:dyDescent="0.2">
      <c r="D32" s="5" t="s">
        <v>823</v>
      </c>
    </row>
    <row r="33" spans="2:4" x14ac:dyDescent="0.2">
      <c r="D33" s="5" t="s">
        <v>719</v>
      </c>
    </row>
    <row r="34" spans="2:4" x14ac:dyDescent="0.2">
      <c r="D34" s="5" t="s">
        <v>824</v>
      </c>
    </row>
    <row r="35" spans="2:4" x14ac:dyDescent="0.2">
      <c r="D35" s="5" t="s">
        <v>874</v>
      </c>
    </row>
    <row r="36" spans="2:4" x14ac:dyDescent="0.2">
      <c r="D36" s="5" t="s">
        <v>803</v>
      </c>
    </row>
    <row r="37" spans="2:4" x14ac:dyDescent="0.2">
      <c r="B37" s="5" t="s">
        <v>902</v>
      </c>
    </row>
    <row r="38" spans="2:4" x14ac:dyDescent="0.2">
      <c r="D38" s="5" t="s">
        <v>812</v>
      </c>
    </row>
    <row r="39" spans="2:4" x14ac:dyDescent="0.2">
      <c r="D39" s="5" t="s">
        <v>704</v>
      </c>
    </row>
    <row r="40" spans="2:4" x14ac:dyDescent="0.2">
      <c r="D40" s="5" t="s">
        <v>813</v>
      </c>
    </row>
    <row r="41" spans="2:4" x14ac:dyDescent="0.2">
      <c r="D41" s="5" t="s">
        <v>814</v>
      </c>
    </row>
    <row r="42" spans="2:4" x14ac:dyDescent="0.2">
      <c r="D42" s="5" t="s">
        <v>712</v>
      </c>
    </row>
    <row r="43" spans="2:4" x14ac:dyDescent="0.2">
      <c r="B43" s="5" t="s">
        <v>903</v>
      </c>
    </row>
    <row r="44" spans="2:4" x14ac:dyDescent="0.2">
      <c r="D44" s="5" t="s">
        <v>709</v>
      </c>
    </row>
    <row r="45" spans="2:4" x14ac:dyDescent="0.2">
      <c r="D45" s="5" t="s">
        <v>704</v>
      </c>
    </row>
    <row r="46" spans="2:4" x14ac:dyDescent="0.2">
      <c r="D46" s="5" t="s">
        <v>710</v>
      </c>
    </row>
    <row r="47" spans="2:4" x14ac:dyDescent="0.2">
      <c r="D47" s="5" t="s">
        <v>711</v>
      </c>
    </row>
    <row r="48" spans="2:4" x14ac:dyDescent="0.2">
      <c r="D48" s="5" t="s">
        <v>712</v>
      </c>
    </row>
    <row r="49" spans="2:4" x14ac:dyDescent="0.2">
      <c r="B49" s="5" t="s">
        <v>904</v>
      </c>
    </row>
    <row r="50" spans="2:4" x14ac:dyDescent="0.2">
      <c r="D50" s="5" t="s">
        <v>709</v>
      </c>
    </row>
    <row r="51" spans="2:4" x14ac:dyDescent="0.2">
      <c r="D51" s="5" t="s">
        <v>704</v>
      </c>
    </row>
    <row r="52" spans="2:4" x14ac:dyDescent="0.2">
      <c r="D52" s="5" t="s">
        <v>710</v>
      </c>
    </row>
    <row r="53" spans="2:4" x14ac:dyDescent="0.2">
      <c r="D53" s="5" t="s">
        <v>711</v>
      </c>
    </row>
    <row r="54" spans="2:4" x14ac:dyDescent="0.2">
      <c r="D54" s="5" t="s">
        <v>712</v>
      </c>
    </row>
    <row r="55" spans="2:4" x14ac:dyDescent="0.2">
      <c r="B55" s="5" t="s">
        <v>905</v>
      </c>
    </row>
    <row r="56" spans="2:4" x14ac:dyDescent="0.2">
      <c r="D56" s="5" t="s">
        <v>709</v>
      </c>
    </row>
    <row r="57" spans="2:4" x14ac:dyDescent="0.2">
      <c r="D57" s="5" t="s">
        <v>704</v>
      </c>
    </row>
    <row r="58" spans="2:4" x14ac:dyDescent="0.2">
      <c r="D58" s="5" t="s">
        <v>710</v>
      </c>
    </row>
    <row r="59" spans="2:4" x14ac:dyDescent="0.2">
      <c r="D59" s="5" t="s">
        <v>711</v>
      </c>
    </row>
    <row r="60" spans="2:4" x14ac:dyDescent="0.2">
      <c r="D60" s="5" t="s">
        <v>712</v>
      </c>
    </row>
    <row r="61" spans="2:4" x14ac:dyDescent="0.2">
      <c r="B61" s="5" t="s">
        <v>906</v>
      </c>
    </row>
    <row r="62" spans="2:4" x14ac:dyDescent="0.2">
      <c r="D62" s="5" t="s">
        <v>872</v>
      </c>
    </row>
    <row r="63" spans="2:4" x14ac:dyDescent="0.2">
      <c r="D63" s="5" t="s">
        <v>719</v>
      </c>
    </row>
    <row r="64" spans="2:4" x14ac:dyDescent="0.2">
      <c r="D64" s="5" t="s">
        <v>873</v>
      </c>
    </row>
    <row r="65" spans="2:4" x14ac:dyDescent="0.2">
      <c r="D65" s="5" t="s">
        <v>907</v>
      </c>
    </row>
    <row r="66" spans="2:4" x14ac:dyDescent="0.2">
      <c r="D66" s="5" t="s">
        <v>908</v>
      </c>
    </row>
    <row r="67" spans="2:4" x14ac:dyDescent="0.2">
      <c r="B67" s="5" t="s">
        <v>909</v>
      </c>
    </row>
    <row r="68" spans="2:4" x14ac:dyDescent="0.2">
      <c r="D68" s="5" t="s">
        <v>709</v>
      </c>
    </row>
    <row r="69" spans="2:4" x14ac:dyDescent="0.2">
      <c r="D69" s="5" t="s">
        <v>704</v>
      </c>
    </row>
    <row r="70" spans="2:4" x14ac:dyDescent="0.2">
      <c r="D70" s="5" t="s">
        <v>710</v>
      </c>
    </row>
    <row r="71" spans="2:4" x14ac:dyDescent="0.2">
      <c r="D71" s="5" t="s">
        <v>711</v>
      </c>
    </row>
    <row r="72" spans="2:4" x14ac:dyDescent="0.2">
      <c r="D72" s="5" t="s">
        <v>712</v>
      </c>
    </row>
    <row r="73" spans="2:4" x14ac:dyDescent="0.2">
      <c r="B73" s="5" t="s">
        <v>910</v>
      </c>
    </row>
    <row r="74" spans="2:4" x14ac:dyDescent="0.2">
      <c r="D74" s="5" t="s">
        <v>709</v>
      </c>
    </row>
    <row r="75" spans="2:4" x14ac:dyDescent="0.2">
      <c r="D75" s="5" t="s">
        <v>704</v>
      </c>
    </row>
    <row r="76" spans="2:4" x14ac:dyDescent="0.2">
      <c r="D76" s="5" t="s">
        <v>710</v>
      </c>
    </row>
    <row r="77" spans="2:4" x14ac:dyDescent="0.2">
      <c r="D77" s="5" t="s">
        <v>874</v>
      </c>
    </row>
    <row r="78" spans="2:4" x14ac:dyDescent="0.2">
      <c r="D78" s="5" t="s">
        <v>803</v>
      </c>
    </row>
  </sheetData>
  <autoFilter ref="A18:H18"/>
  <conditionalFormatting sqref="C17">
    <cfRule type="cellIs" dxfId="69" priority="1" stopIfTrue="1" operator="equal">
      <formula>$B$10</formula>
    </cfRule>
    <cfRule type="cellIs" dxfId="6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3</v>
      </c>
      <c r="C2" s="15">
        <f>IF(ISERROR(VALUE(TRIM(CLEAN(MID(C20,FIND("(",C20)+1,FIND("/",C20,1)-FIND("(",C20)-1))))),0,VALUE(TRIM(CLEAN(MID(C20,FIND("(",C20)+1,FIND("/",C20,1)-FIND("(",C20)-1)))))</f>
        <v>3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8</v>
      </c>
      <c r="C4" s="16">
        <f>IF(ISERROR(VALUE(TRIM(CLEAN(MID(C23,FIND("(",C23)+1,FIND("/",C23,1)-FIND("(",C23)-1))))),0,VALUE(TRIM(CLEAN(MID(C23,FIND("(",C23)+1,FIND("/",C23,1)-FIND("(",C23)-1)))))</f>
        <v>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</v>
      </c>
      <c r="C5" s="16">
        <f>IF(ISERROR(VALUE(TRIM(CLEAN(MID(C24,FIND("(",C24)+1,FIND("/",C24,1)-FIND("(",C24)-1))))),0,VALUE(TRIM(CLEAN(MID(C24,FIND("(",C24)+1,FIND("/",C24,1)-FIND("(",C24)-1)))))</f>
        <v>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14</v>
      </c>
      <c r="C7" s="17">
        <f>SUM(C2:C5)</f>
        <v>14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912</v>
      </c>
    </row>
    <row r="20" spans="1:8" x14ac:dyDescent="0.2">
      <c r="C20" s="5" t="s">
        <v>812</v>
      </c>
    </row>
    <row r="21" spans="1:8" x14ac:dyDescent="0.2">
      <c r="C21" s="5" t="s">
        <v>704</v>
      </c>
    </row>
    <row r="22" spans="1:8" x14ac:dyDescent="0.2">
      <c r="C22" s="5" t="s">
        <v>813</v>
      </c>
    </row>
    <row r="23" spans="1:8" x14ac:dyDescent="0.2">
      <c r="C23" s="5" t="s">
        <v>762</v>
      </c>
    </row>
    <row r="24" spans="1:8" x14ac:dyDescent="0.2">
      <c r="C24" s="5" t="s">
        <v>913</v>
      </c>
    </row>
    <row r="25" spans="1:8" x14ac:dyDescent="0.2">
      <c r="B25" s="5" t="s">
        <v>914</v>
      </c>
    </row>
    <row r="26" spans="1:8" x14ac:dyDescent="0.2">
      <c r="D26" s="5" t="s">
        <v>812</v>
      </c>
    </row>
    <row r="27" spans="1:8" x14ac:dyDescent="0.2">
      <c r="D27" s="5" t="s">
        <v>704</v>
      </c>
    </row>
    <row r="28" spans="1:8" x14ac:dyDescent="0.2">
      <c r="D28" s="5" t="s">
        <v>813</v>
      </c>
    </row>
    <row r="29" spans="1:8" x14ac:dyDescent="0.2">
      <c r="D29" s="5" t="s">
        <v>762</v>
      </c>
    </row>
    <row r="30" spans="1:8" x14ac:dyDescent="0.2">
      <c r="D30" s="5" t="s">
        <v>913</v>
      </c>
    </row>
  </sheetData>
  <autoFilter ref="A18:H18"/>
  <conditionalFormatting sqref="C17">
    <cfRule type="cellIs" dxfId="67" priority="1" stopIfTrue="1" operator="equal">
      <formula>$B$10</formula>
    </cfRule>
    <cfRule type="cellIs" dxfId="6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6</v>
      </c>
      <c r="C2" s="15">
        <f>IF(ISERROR(VALUE(TRIM(CLEAN(MID(C20,FIND("(",C20)+1,FIND("/",C20,1)-FIND("(",C20)-1))))),0,VALUE(TRIM(CLEAN(MID(C20,FIND("(",C20)+1,FIND("/",C20,1)-FIND("(",C20)-1)))))</f>
        <v>6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4</v>
      </c>
      <c r="C4" s="16">
        <f>IF(ISERROR(VALUE(TRIM(CLEAN(MID(C23,FIND("(",C23)+1,FIND("/",C23,1)-FIND("(",C23)-1))))),0,VALUE(TRIM(CLEAN(MID(C23,FIND("(",C23)+1,FIND("/",C23,1)-FIND("(",C23)-1)))))</f>
        <v>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10</v>
      </c>
      <c r="C7" s="17">
        <f>SUM(C2:C5)</f>
        <v>10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916</v>
      </c>
    </row>
    <row r="20" spans="1:8" x14ac:dyDescent="0.2">
      <c r="C20" s="5" t="s">
        <v>703</v>
      </c>
    </row>
    <row r="21" spans="1:8" x14ac:dyDescent="0.2">
      <c r="C21" s="5" t="s">
        <v>704</v>
      </c>
    </row>
    <row r="22" spans="1:8" x14ac:dyDescent="0.2">
      <c r="C22" s="5" t="s">
        <v>705</v>
      </c>
    </row>
    <row r="23" spans="1:8" x14ac:dyDescent="0.2">
      <c r="C23" s="5" t="s">
        <v>805</v>
      </c>
    </row>
    <row r="24" spans="1:8" x14ac:dyDescent="0.2">
      <c r="C24" s="5" t="s">
        <v>712</v>
      </c>
    </row>
    <row r="25" spans="1:8" x14ac:dyDescent="0.2">
      <c r="B25" s="5" t="s">
        <v>917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918</v>
      </c>
    </row>
    <row r="32" spans="1:8" x14ac:dyDescent="0.2">
      <c r="D32" s="5" t="s">
        <v>714</v>
      </c>
    </row>
    <row r="33" spans="4:4" x14ac:dyDescent="0.2">
      <c r="D33" s="5" t="s">
        <v>704</v>
      </c>
    </row>
    <row r="34" spans="4:4" x14ac:dyDescent="0.2">
      <c r="D34" s="5" t="s">
        <v>715</v>
      </c>
    </row>
    <row r="35" spans="4:4" x14ac:dyDescent="0.2">
      <c r="D35" s="5" t="s">
        <v>805</v>
      </c>
    </row>
    <row r="36" spans="4:4" x14ac:dyDescent="0.2">
      <c r="D36" s="5" t="s">
        <v>712</v>
      </c>
    </row>
  </sheetData>
  <autoFilter ref="A18:H18"/>
  <conditionalFormatting sqref="C17">
    <cfRule type="cellIs" dxfId="65" priority="1" stopIfTrue="1" operator="equal">
      <formula>$B$10</formula>
    </cfRule>
    <cfRule type="cellIs" dxfId="6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indexed="11"/>
  </sheetPr>
  <dimension ref="A1:H50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94</v>
      </c>
      <c r="C2" s="15">
        <f>IF(ISERROR(VALUE(TRIM(CLEAN(MID(C20,FIND("(",C20)+1,FIND("/",C20,1)-FIND("(",C20)-1))))),0,VALUE(TRIM(CLEAN(MID(C20,FIND("(",C20)+1,FIND("/",C20,1)-FIND("(",C20)-1)))))</f>
        <v>93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11</v>
      </c>
      <c r="C3" s="16">
        <f>IF(ISERROR(VALUE(TRIM(CLEAN(MID(C21,FIND("(",C21)+1,FIND("/",C21,1)-FIND("(",C21)-1))))),0,VALUE(TRIM(CLEAN(MID(C21,FIND("(",C21)+1,FIND("/",C21,1)-FIND("(",C21)-1)))))</f>
        <v>11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151</v>
      </c>
      <c r="C4" s="16">
        <f>IF(ISERROR(VALUE(TRIM(CLEAN(MID(C23,FIND("(",C23)+1,FIND("/",C23,1)-FIND("(",C23)-1))))),0,VALUE(TRIM(CLEAN(MID(C23,FIND("(",C23)+1,FIND("/",C23,1)-FIND("(",C23)-1)))))</f>
        <v>150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38</v>
      </c>
      <c r="C5" s="16">
        <f>IF(ISERROR(VALUE(TRIM(CLEAN(MID(C24,FIND("(",C24)+1,FIND("/",C24,1)-FIND("(",C24)-1))))),0,VALUE(TRIM(CLEAN(MID(C24,FIND("(",C24)+1,FIND("/",C24,1)-FIND("(",C24)-1)))))</f>
        <v>38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294</v>
      </c>
      <c r="C7" s="17">
        <f>SUM(C2:C5)</f>
        <v>292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2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2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2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920</v>
      </c>
    </row>
    <row r="20" spans="1:8" x14ac:dyDescent="0.2">
      <c r="C20" s="5" t="s">
        <v>921</v>
      </c>
    </row>
    <row r="21" spans="1:8" x14ac:dyDescent="0.2">
      <c r="C21" s="5" t="s">
        <v>922</v>
      </c>
    </row>
    <row r="22" spans="1:8" x14ac:dyDescent="0.2">
      <c r="C22" s="5" t="s">
        <v>923</v>
      </c>
    </row>
    <row r="23" spans="1:8" x14ac:dyDescent="0.2">
      <c r="C23" s="5" t="s">
        <v>924</v>
      </c>
    </row>
    <row r="24" spans="1:8" x14ac:dyDescent="0.2">
      <c r="C24" s="5" t="s">
        <v>790</v>
      </c>
    </row>
    <row r="25" spans="1:8" x14ac:dyDescent="0.2">
      <c r="B25" s="5" t="s">
        <v>925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926</v>
      </c>
    </row>
    <row r="32" spans="1:8" x14ac:dyDescent="0.2">
      <c r="D32" s="5" t="s">
        <v>709</v>
      </c>
    </row>
    <row r="33" spans="2:8" x14ac:dyDescent="0.2">
      <c r="D33" s="5" t="s">
        <v>704</v>
      </c>
    </row>
    <row r="34" spans="2:8" x14ac:dyDescent="0.2">
      <c r="D34" s="5" t="s">
        <v>710</v>
      </c>
    </row>
    <row r="35" spans="2:8" x14ac:dyDescent="0.2">
      <c r="D35" s="5" t="s">
        <v>711</v>
      </c>
    </row>
    <row r="36" spans="2:8" x14ac:dyDescent="0.2">
      <c r="D36" s="5" t="s">
        <v>712</v>
      </c>
    </row>
    <row r="37" spans="2:8" x14ac:dyDescent="0.2">
      <c r="B37" s="5" t="s">
        <v>927</v>
      </c>
    </row>
    <row r="38" spans="2:8" x14ac:dyDescent="0.2">
      <c r="D38" s="5" t="s">
        <v>928</v>
      </c>
    </row>
    <row r="39" spans="2:8" x14ac:dyDescent="0.2">
      <c r="E39" s="5" t="s">
        <v>929</v>
      </c>
      <c r="F39" s="5">
        <v>953</v>
      </c>
      <c r="G39" s="5" t="s">
        <v>19</v>
      </c>
      <c r="H39" s="5" t="s">
        <v>1244</v>
      </c>
    </row>
    <row r="40" spans="2:8" x14ac:dyDescent="0.2">
      <c r="D40" s="5" t="s">
        <v>922</v>
      </c>
    </row>
    <row r="41" spans="2:8" x14ac:dyDescent="0.2">
      <c r="D41" s="5" t="s">
        <v>930</v>
      </c>
    </row>
    <row r="42" spans="2:8" x14ac:dyDescent="0.2">
      <c r="D42" s="5" t="s">
        <v>924</v>
      </c>
    </row>
    <row r="43" spans="2:8" x14ac:dyDescent="0.2">
      <c r="E43" s="5" t="s">
        <v>931</v>
      </c>
      <c r="F43" s="5">
        <v>953</v>
      </c>
      <c r="G43" s="5" t="s">
        <v>19</v>
      </c>
      <c r="H43" s="5" t="s">
        <v>1244</v>
      </c>
    </row>
    <row r="44" spans="2:8" x14ac:dyDescent="0.2">
      <c r="D44" s="5" t="s">
        <v>790</v>
      </c>
    </row>
    <row r="45" spans="2:8" x14ac:dyDescent="0.2">
      <c r="B45" s="5" t="s">
        <v>932</v>
      </c>
    </row>
    <row r="46" spans="2:8" x14ac:dyDescent="0.2">
      <c r="D46" s="5" t="s">
        <v>709</v>
      </c>
    </row>
    <row r="47" spans="2:8" x14ac:dyDescent="0.2">
      <c r="D47" s="5" t="s">
        <v>704</v>
      </c>
    </row>
    <row r="48" spans="2:8" x14ac:dyDescent="0.2">
      <c r="D48" s="5" t="s">
        <v>710</v>
      </c>
    </row>
    <row r="49" spans="4:4" x14ac:dyDescent="0.2">
      <c r="D49" s="5" t="s">
        <v>711</v>
      </c>
    </row>
    <row r="50" spans="4:4" x14ac:dyDescent="0.2">
      <c r="D50" s="5" t="s">
        <v>712</v>
      </c>
    </row>
  </sheetData>
  <autoFilter ref="A18:H18"/>
  <conditionalFormatting sqref="C17">
    <cfRule type="cellIs" dxfId="63" priority="1" stopIfTrue="1" operator="equal">
      <formula>$B$10</formula>
    </cfRule>
    <cfRule type="cellIs" dxfId="6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8</v>
      </c>
      <c r="C2" s="15">
        <f>IF(ISERROR(VALUE(TRIM(CLEAN(MID(C20,FIND("(",C20)+1,FIND("/",C20,1)-FIND("(",C20)-1))))),0,VALUE(TRIM(CLEAN(MID(C20,FIND("(",C20)+1,FIND("/",C20,1)-FIND("(",C20)-1)))))</f>
        <v>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12</v>
      </c>
      <c r="C4" s="16">
        <f>IF(ISERROR(VALUE(TRIM(CLEAN(MID(C23,FIND("(",C23)+1,FIND("/",C23,1)-FIND("(",C23)-1))))),0,VALUE(TRIM(CLEAN(MID(C23,FIND("(",C23)+1,FIND("/",C23,1)-FIND("(",C23)-1)))))</f>
        <v>12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4</v>
      </c>
      <c r="C5" s="16">
        <f>IF(ISERROR(VALUE(TRIM(CLEAN(MID(C24,FIND("(",C24)+1,FIND("/",C24,1)-FIND("(",C24)-1))))),0,VALUE(TRIM(CLEAN(MID(C24,FIND("(",C24)+1,FIND("/",C24,1)-FIND("(",C24)-1)))))</f>
        <v>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24</v>
      </c>
      <c r="C7" s="17">
        <f>SUM(C2:C5)</f>
        <v>24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934</v>
      </c>
    </row>
    <row r="20" spans="1:8" x14ac:dyDescent="0.2">
      <c r="C20" s="5" t="s">
        <v>761</v>
      </c>
    </row>
    <row r="21" spans="1:8" x14ac:dyDescent="0.2">
      <c r="C21" s="5" t="s">
        <v>704</v>
      </c>
    </row>
    <row r="22" spans="1:8" x14ac:dyDescent="0.2">
      <c r="C22" s="5" t="s">
        <v>739</v>
      </c>
    </row>
    <row r="23" spans="1:8" x14ac:dyDescent="0.2">
      <c r="C23" s="5" t="s">
        <v>825</v>
      </c>
    </row>
    <row r="24" spans="1:8" x14ac:dyDescent="0.2">
      <c r="C24" s="5" t="s">
        <v>741</v>
      </c>
    </row>
    <row r="25" spans="1:8" x14ac:dyDescent="0.2">
      <c r="B25" s="5" t="s">
        <v>935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936</v>
      </c>
    </row>
    <row r="32" spans="1:8" x14ac:dyDescent="0.2">
      <c r="D32" s="5" t="s">
        <v>709</v>
      </c>
    </row>
    <row r="33" spans="2:4" x14ac:dyDescent="0.2">
      <c r="D33" s="5" t="s">
        <v>704</v>
      </c>
    </row>
    <row r="34" spans="2:4" x14ac:dyDescent="0.2">
      <c r="D34" s="5" t="s">
        <v>710</v>
      </c>
    </row>
    <row r="35" spans="2:4" x14ac:dyDescent="0.2">
      <c r="D35" s="5" t="s">
        <v>711</v>
      </c>
    </row>
    <row r="36" spans="2:4" x14ac:dyDescent="0.2">
      <c r="D36" s="5" t="s">
        <v>712</v>
      </c>
    </row>
    <row r="37" spans="2:4" x14ac:dyDescent="0.2">
      <c r="B37" s="5" t="s">
        <v>937</v>
      </c>
    </row>
    <row r="38" spans="2:4" x14ac:dyDescent="0.2">
      <c r="D38" s="5" t="s">
        <v>714</v>
      </c>
    </row>
    <row r="39" spans="2:4" x14ac:dyDescent="0.2">
      <c r="D39" s="5" t="s">
        <v>704</v>
      </c>
    </row>
    <row r="40" spans="2:4" x14ac:dyDescent="0.2">
      <c r="D40" s="5" t="s">
        <v>715</v>
      </c>
    </row>
    <row r="41" spans="2:4" x14ac:dyDescent="0.2">
      <c r="D41" s="5" t="s">
        <v>825</v>
      </c>
    </row>
    <row r="42" spans="2:4" x14ac:dyDescent="0.2">
      <c r="D42" s="5" t="s">
        <v>741</v>
      </c>
    </row>
    <row r="43" spans="2:4" x14ac:dyDescent="0.2">
      <c r="B43" s="5" t="s">
        <v>938</v>
      </c>
    </row>
    <row r="44" spans="2:4" x14ac:dyDescent="0.2">
      <c r="D44" s="5" t="s">
        <v>709</v>
      </c>
    </row>
    <row r="45" spans="2:4" x14ac:dyDescent="0.2">
      <c r="D45" s="5" t="s">
        <v>704</v>
      </c>
    </row>
    <row r="46" spans="2:4" x14ac:dyDescent="0.2">
      <c r="D46" s="5" t="s">
        <v>710</v>
      </c>
    </row>
    <row r="47" spans="2:4" x14ac:dyDescent="0.2">
      <c r="D47" s="5" t="s">
        <v>711</v>
      </c>
    </row>
    <row r="48" spans="2:4" x14ac:dyDescent="0.2">
      <c r="D48" s="5" t="s">
        <v>712</v>
      </c>
    </row>
  </sheetData>
  <autoFilter ref="A18:H18"/>
  <conditionalFormatting sqref="C17">
    <cfRule type="cellIs" dxfId="61" priority="1" stopIfTrue="1" operator="equal">
      <formula>$B$10</formula>
    </cfRule>
    <cfRule type="cellIs" dxfId="6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8</v>
      </c>
      <c r="C2" s="15">
        <f>IF(ISERROR(VALUE(TRIM(CLEAN(MID(C20,FIND("(",C20)+1,FIND("/",C20,1)-FIND("(",C20)-1))))),0,VALUE(TRIM(CLEAN(MID(C20,FIND("(",C20)+1,FIND("/",C20,1)-FIND("(",C20)-1)))))</f>
        <v>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40</v>
      </c>
      <c r="C4" s="16">
        <f>IF(ISERROR(VALUE(TRIM(CLEAN(MID(C23,FIND("(",C23)+1,FIND("/",C23,1)-FIND("(",C23)-1))))),0,VALUE(TRIM(CLEAN(MID(C23,FIND("(",C23)+1,FIND("/",C23,1)-FIND("(",C23)-1)))))</f>
        <v>40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18</v>
      </c>
      <c r="C5" s="16">
        <f>IF(ISERROR(VALUE(TRIM(CLEAN(MID(C24,FIND("(",C24)+1,FIND("/",C24,1)-FIND("(",C24)-1))))),0,VALUE(TRIM(CLEAN(MID(C24,FIND("(",C24)+1,FIND("/",C24,1)-FIND("(",C24)-1)))))</f>
        <v>18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66</v>
      </c>
      <c r="C7" s="17">
        <f>SUM(C2:C5)</f>
        <v>66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940</v>
      </c>
    </row>
    <row r="20" spans="1:8" x14ac:dyDescent="0.2">
      <c r="C20" s="5" t="s">
        <v>761</v>
      </c>
    </row>
    <row r="21" spans="1:8" x14ac:dyDescent="0.2">
      <c r="C21" s="5" t="s">
        <v>704</v>
      </c>
    </row>
    <row r="22" spans="1:8" x14ac:dyDescent="0.2">
      <c r="C22" s="5" t="s">
        <v>739</v>
      </c>
    </row>
    <row r="23" spans="1:8" x14ac:dyDescent="0.2">
      <c r="C23" s="5" t="s">
        <v>769</v>
      </c>
    </row>
    <row r="24" spans="1:8" x14ac:dyDescent="0.2">
      <c r="C24" s="5" t="s">
        <v>770</v>
      </c>
    </row>
    <row r="25" spans="1:8" x14ac:dyDescent="0.2">
      <c r="B25" s="5" t="s">
        <v>941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942</v>
      </c>
    </row>
    <row r="32" spans="1:8" x14ac:dyDescent="0.2">
      <c r="D32" s="5" t="s">
        <v>709</v>
      </c>
    </row>
    <row r="33" spans="2:4" x14ac:dyDescent="0.2">
      <c r="D33" s="5" t="s">
        <v>704</v>
      </c>
    </row>
    <row r="34" spans="2:4" x14ac:dyDescent="0.2">
      <c r="D34" s="5" t="s">
        <v>710</v>
      </c>
    </row>
    <row r="35" spans="2:4" x14ac:dyDescent="0.2">
      <c r="D35" s="5" t="s">
        <v>711</v>
      </c>
    </row>
    <row r="36" spans="2:4" x14ac:dyDescent="0.2">
      <c r="D36" s="5" t="s">
        <v>712</v>
      </c>
    </row>
    <row r="37" spans="2:4" x14ac:dyDescent="0.2">
      <c r="B37" s="5" t="s">
        <v>943</v>
      </c>
    </row>
    <row r="38" spans="2:4" x14ac:dyDescent="0.2">
      <c r="D38" s="5" t="s">
        <v>714</v>
      </c>
    </row>
    <row r="39" spans="2:4" x14ac:dyDescent="0.2">
      <c r="D39" s="5" t="s">
        <v>704</v>
      </c>
    </row>
    <row r="40" spans="2:4" x14ac:dyDescent="0.2">
      <c r="D40" s="5" t="s">
        <v>715</v>
      </c>
    </row>
    <row r="41" spans="2:4" x14ac:dyDescent="0.2">
      <c r="D41" s="5" t="s">
        <v>769</v>
      </c>
    </row>
    <row r="42" spans="2:4" x14ac:dyDescent="0.2">
      <c r="D42" s="5" t="s">
        <v>770</v>
      </c>
    </row>
    <row r="43" spans="2:4" x14ac:dyDescent="0.2">
      <c r="B43" s="5" t="s">
        <v>944</v>
      </c>
    </row>
    <row r="44" spans="2:4" x14ac:dyDescent="0.2">
      <c r="D44" s="5" t="s">
        <v>709</v>
      </c>
    </row>
    <row r="45" spans="2:4" x14ac:dyDescent="0.2">
      <c r="D45" s="5" t="s">
        <v>704</v>
      </c>
    </row>
    <row r="46" spans="2:4" x14ac:dyDescent="0.2">
      <c r="D46" s="5" t="s">
        <v>710</v>
      </c>
    </row>
    <row r="47" spans="2:4" x14ac:dyDescent="0.2">
      <c r="D47" s="5" t="s">
        <v>711</v>
      </c>
    </row>
    <row r="48" spans="2:4" x14ac:dyDescent="0.2">
      <c r="D48" s="5" t="s">
        <v>712</v>
      </c>
    </row>
  </sheetData>
  <autoFilter ref="A18:H18"/>
  <conditionalFormatting sqref="C17">
    <cfRule type="cellIs" dxfId="59" priority="1" stopIfTrue="1" operator="equal">
      <formula>$B$10</formula>
    </cfRule>
    <cfRule type="cellIs" dxfId="5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8</v>
      </c>
      <c r="C4" s="16">
        <f>IF(ISERROR(VALUE(TRIM(CLEAN(MID(C23,FIND("(",C23)+1,FIND("/",C23,1)-FIND("(",C23)-1))))),0,VALUE(TRIM(CLEAN(MID(C23,FIND("(",C23)+1,FIND("/",C23,1)-FIND("(",C23)-1)))))</f>
        <v>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4</v>
      </c>
      <c r="C5" s="16">
        <f>IF(ISERROR(VALUE(TRIM(CLEAN(MID(C24,FIND("(",C24)+1,FIND("/",C24,1)-FIND("(",C24)-1))))),0,VALUE(TRIM(CLEAN(MID(C24,FIND("(",C24)+1,FIND("/",C24,1)-FIND("(",C24)-1)))))</f>
        <v>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14</v>
      </c>
      <c r="C7" s="17">
        <f>SUM(C2:C5)</f>
        <v>14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946</v>
      </c>
    </row>
    <row r="20" spans="1:8" x14ac:dyDescent="0.2">
      <c r="C20" s="5" t="s">
        <v>787</v>
      </c>
    </row>
    <row r="21" spans="1:8" x14ac:dyDescent="0.2">
      <c r="C21" s="5" t="s">
        <v>704</v>
      </c>
    </row>
    <row r="22" spans="1:8" x14ac:dyDescent="0.2">
      <c r="C22" s="5" t="s">
        <v>788</v>
      </c>
    </row>
    <row r="23" spans="1:8" x14ac:dyDescent="0.2">
      <c r="C23" s="5" t="s">
        <v>762</v>
      </c>
    </row>
    <row r="24" spans="1:8" x14ac:dyDescent="0.2">
      <c r="C24" s="5" t="s">
        <v>741</v>
      </c>
    </row>
    <row r="25" spans="1:8" x14ac:dyDescent="0.2">
      <c r="B25" s="5" t="s">
        <v>947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948</v>
      </c>
    </row>
    <row r="32" spans="1:8" x14ac:dyDescent="0.2">
      <c r="D32" s="5" t="s">
        <v>709</v>
      </c>
    </row>
    <row r="33" spans="4:4" x14ac:dyDescent="0.2">
      <c r="D33" s="5" t="s">
        <v>704</v>
      </c>
    </row>
    <row r="34" spans="4:4" x14ac:dyDescent="0.2">
      <c r="D34" s="5" t="s">
        <v>710</v>
      </c>
    </row>
    <row r="35" spans="4:4" x14ac:dyDescent="0.2">
      <c r="D35" s="5" t="s">
        <v>762</v>
      </c>
    </row>
    <row r="36" spans="4:4" x14ac:dyDescent="0.2">
      <c r="D36" s="5" t="s">
        <v>741</v>
      </c>
    </row>
  </sheetData>
  <autoFilter ref="A18:H18"/>
  <conditionalFormatting sqref="C17">
    <cfRule type="cellIs" dxfId="57" priority="1" stopIfTrue="1" operator="equal">
      <formula>$B$10</formula>
    </cfRule>
    <cfRule type="cellIs" dxfId="5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8</v>
      </c>
      <c r="C2" s="15">
        <f>IF(ISERROR(VALUE(TRIM(CLEAN(MID(C20,FIND("(",C20)+1,FIND("/",C20,1)-FIND("(",C20)-1))))),0,VALUE(TRIM(CLEAN(MID(C20,FIND("(",C20)+1,FIND("/",C20,1)-FIND("(",C20)-1)))))</f>
        <v>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14</v>
      </c>
      <c r="C4" s="16">
        <f>IF(ISERROR(VALUE(TRIM(CLEAN(MID(C23,FIND("(",C23)+1,FIND("/",C23,1)-FIND("(",C23)-1))))),0,VALUE(TRIM(CLEAN(MID(C23,FIND("(",C23)+1,FIND("/",C23,1)-FIND("(",C23)-1)))))</f>
        <v>14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4</v>
      </c>
      <c r="C5" s="16">
        <f>IF(ISERROR(VALUE(TRIM(CLEAN(MID(C24,FIND("(",C24)+1,FIND("/",C24,1)-FIND("(",C24)-1))))),0,VALUE(TRIM(CLEAN(MID(C24,FIND("(",C24)+1,FIND("/",C24,1)-FIND("(",C24)-1)))))</f>
        <v>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26</v>
      </c>
      <c r="C7" s="17">
        <f>SUM(C2:C5)</f>
        <v>26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950</v>
      </c>
    </row>
    <row r="20" spans="1:8" x14ac:dyDescent="0.2">
      <c r="C20" s="5" t="s">
        <v>761</v>
      </c>
    </row>
    <row r="21" spans="1:8" x14ac:dyDescent="0.2">
      <c r="C21" s="5" t="s">
        <v>704</v>
      </c>
    </row>
    <row r="22" spans="1:8" x14ac:dyDescent="0.2">
      <c r="C22" s="5" t="s">
        <v>739</v>
      </c>
    </row>
    <row r="23" spans="1:8" x14ac:dyDescent="0.2">
      <c r="C23" s="5" t="s">
        <v>740</v>
      </c>
    </row>
    <row r="24" spans="1:8" x14ac:dyDescent="0.2">
      <c r="C24" s="5" t="s">
        <v>741</v>
      </c>
    </row>
    <row r="25" spans="1:8" x14ac:dyDescent="0.2">
      <c r="B25" s="5" t="s">
        <v>951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952</v>
      </c>
    </row>
    <row r="32" spans="1:8" x14ac:dyDescent="0.2">
      <c r="D32" s="5" t="s">
        <v>953</v>
      </c>
    </row>
    <row r="33" spans="4:4" x14ac:dyDescent="0.2">
      <c r="D33" s="5" t="s">
        <v>704</v>
      </c>
    </row>
    <row r="34" spans="4:4" x14ac:dyDescent="0.2">
      <c r="D34" s="5" t="s">
        <v>745</v>
      </c>
    </row>
    <row r="35" spans="4:4" x14ac:dyDescent="0.2">
      <c r="D35" s="5" t="s">
        <v>740</v>
      </c>
    </row>
    <row r="36" spans="4:4" x14ac:dyDescent="0.2">
      <c r="D36" s="5" t="s">
        <v>741</v>
      </c>
    </row>
  </sheetData>
  <autoFilter ref="A18:H18"/>
  <conditionalFormatting sqref="C17">
    <cfRule type="cellIs" dxfId="55" priority="1" stopIfTrue="1" operator="equal">
      <formula>$B$10</formula>
    </cfRule>
    <cfRule type="cellIs" dxfId="5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9</v>
      </c>
      <c r="C2" s="15">
        <f>IF(ISERROR(VALUE(TRIM(CLEAN(MID(C20,FIND("(",C20)+1,FIND("/",C20,1)-FIND("(",C20)-1))))),0,VALUE(TRIM(CLEAN(MID(C20,FIND("(",C20)+1,FIND("/",C20,1)-FIND("(",C20)-1)))))</f>
        <v>9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10</v>
      </c>
      <c r="C4" s="16">
        <f>IF(ISERROR(VALUE(TRIM(CLEAN(MID(C23,FIND("(",C23)+1,FIND("/",C23,1)-FIND("(",C23)-1))))),0,VALUE(TRIM(CLEAN(MID(C23,FIND("(",C23)+1,FIND("/",C23,1)-FIND("(",C23)-1)))))</f>
        <v>10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</v>
      </c>
      <c r="C5" s="16">
        <f>IF(ISERROR(VALUE(TRIM(CLEAN(MID(C24,FIND("(",C24)+1,FIND("/",C24,1)-FIND("(",C24)-1))))),0,VALUE(TRIM(CLEAN(MID(C24,FIND("(",C24)+1,FIND("/",C24,1)-FIND("(",C24)-1)))))</f>
        <v>2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21</v>
      </c>
      <c r="C7" s="17">
        <f>SUM(C2:C5)</f>
        <v>21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955</v>
      </c>
    </row>
    <row r="20" spans="1:8" x14ac:dyDescent="0.2">
      <c r="C20" s="5" t="s">
        <v>956</v>
      </c>
    </row>
    <row r="21" spans="1:8" x14ac:dyDescent="0.2">
      <c r="C21" s="5" t="s">
        <v>704</v>
      </c>
    </row>
    <row r="22" spans="1:8" x14ac:dyDescent="0.2">
      <c r="C22" s="5" t="s">
        <v>957</v>
      </c>
    </row>
    <row r="23" spans="1:8" x14ac:dyDescent="0.2">
      <c r="C23" s="5" t="s">
        <v>861</v>
      </c>
    </row>
    <row r="24" spans="1:8" x14ac:dyDescent="0.2">
      <c r="C24" s="5" t="s">
        <v>722</v>
      </c>
    </row>
    <row r="25" spans="1:8" x14ac:dyDescent="0.2">
      <c r="B25" s="5" t="s">
        <v>958</v>
      </c>
    </row>
    <row r="26" spans="1:8" x14ac:dyDescent="0.2">
      <c r="D26" s="5" t="s">
        <v>956</v>
      </c>
    </row>
    <row r="27" spans="1:8" x14ac:dyDescent="0.2">
      <c r="D27" s="5" t="s">
        <v>704</v>
      </c>
    </row>
    <row r="28" spans="1:8" x14ac:dyDescent="0.2">
      <c r="D28" s="5" t="s">
        <v>957</v>
      </c>
    </row>
    <row r="29" spans="1:8" x14ac:dyDescent="0.2">
      <c r="D29" s="5" t="s">
        <v>861</v>
      </c>
    </row>
    <row r="30" spans="1:8" x14ac:dyDescent="0.2">
      <c r="D30" s="5" t="s">
        <v>722</v>
      </c>
    </row>
  </sheetData>
  <autoFilter ref="A18:H18"/>
  <conditionalFormatting sqref="C17">
    <cfRule type="cellIs" dxfId="53" priority="1" stopIfTrue="1" operator="equal">
      <formula>$B$10</formula>
    </cfRule>
    <cfRule type="cellIs" dxfId="5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6</v>
      </c>
      <c r="C2" s="15">
        <f>IF(ISERROR(VALUE(TRIM(CLEAN(MID(C20,FIND("(",C20)+1,FIND("/",C20,1)-FIND("(",C20)-1))))),0,VALUE(TRIM(CLEAN(MID(C20,FIND("(",C20)+1,FIND("/",C20,1)-FIND("(",C20)-1)))))</f>
        <v>6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12</v>
      </c>
      <c r="C4" s="16">
        <f>IF(ISERROR(VALUE(TRIM(CLEAN(MID(C23,FIND("(",C23)+1,FIND("/",C23,1)-FIND("(",C23)-1))))),0,VALUE(TRIM(CLEAN(MID(C23,FIND("(",C23)+1,FIND("/",C23,1)-FIND("(",C23)-1)))))</f>
        <v>12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4</v>
      </c>
      <c r="C5" s="16">
        <f>IF(ISERROR(VALUE(TRIM(CLEAN(MID(C24,FIND("(",C24)+1,FIND("/",C24,1)-FIND("(",C24)-1))))),0,VALUE(TRIM(CLEAN(MID(C24,FIND("(",C24)+1,FIND("/",C24,1)-FIND("(",C24)-1)))))</f>
        <v>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22</v>
      </c>
      <c r="C7" s="17">
        <f>SUM(C2:C5)</f>
        <v>22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960</v>
      </c>
    </row>
    <row r="20" spans="1:8" x14ac:dyDescent="0.2">
      <c r="C20" s="5" t="s">
        <v>703</v>
      </c>
    </row>
    <row r="21" spans="1:8" x14ac:dyDescent="0.2">
      <c r="C21" s="5" t="s">
        <v>704</v>
      </c>
    </row>
    <row r="22" spans="1:8" x14ac:dyDescent="0.2">
      <c r="C22" s="5" t="s">
        <v>705</v>
      </c>
    </row>
    <row r="23" spans="1:8" x14ac:dyDescent="0.2">
      <c r="C23" s="5" t="s">
        <v>825</v>
      </c>
    </row>
    <row r="24" spans="1:8" x14ac:dyDescent="0.2">
      <c r="C24" s="5" t="s">
        <v>741</v>
      </c>
    </row>
    <row r="25" spans="1:8" x14ac:dyDescent="0.2">
      <c r="B25" s="5" t="s">
        <v>961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962</v>
      </c>
    </row>
    <row r="32" spans="1:8" x14ac:dyDescent="0.2">
      <c r="D32" s="5" t="s">
        <v>714</v>
      </c>
    </row>
    <row r="33" spans="4:4" x14ac:dyDescent="0.2">
      <c r="D33" s="5" t="s">
        <v>704</v>
      </c>
    </row>
    <row r="34" spans="4:4" x14ac:dyDescent="0.2">
      <c r="D34" s="5" t="s">
        <v>715</v>
      </c>
    </row>
    <row r="35" spans="4:4" x14ac:dyDescent="0.2">
      <c r="D35" s="5" t="s">
        <v>825</v>
      </c>
    </row>
    <row r="36" spans="4:4" x14ac:dyDescent="0.2">
      <c r="D36" s="5" t="s">
        <v>741</v>
      </c>
    </row>
  </sheetData>
  <autoFilter ref="A18:H18"/>
  <conditionalFormatting sqref="C17">
    <cfRule type="cellIs" dxfId="51" priority="1" stopIfTrue="1" operator="equal">
      <formula>$B$10</formula>
    </cfRule>
    <cfRule type="cellIs" dxfId="5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4</v>
      </c>
      <c r="C2" s="15">
        <f>IF(ISERROR(VALUE(TRIM(CLEAN(MID(C20,FIND("(",C20)+1,FIND("/",C20,1)-FIND("(",C20)-1))))),0,VALUE(TRIM(CLEAN(MID(C20,FIND("(",C20)+1,FIND("/",C20,1)-FIND("(",C20)-1)))))</f>
        <v>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32</v>
      </c>
      <c r="C4" s="16">
        <f>IF(ISERROR(VALUE(TRIM(CLEAN(MID(C23,FIND("(",C23)+1,FIND("/",C23,1)-FIND("(",C23)-1))))),0,VALUE(TRIM(CLEAN(MID(C23,FIND("(",C23)+1,FIND("/",C23,1)-FIND("(",C23)-1)))))</f>
        <v>32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16</v>
      </c>
      <c r="C5" s="16">
        <f>IF(ISERROR(VALUE(TRIM(CLEAN(MID(C24,FIND("(",C24)+1,FIND("/",C24,1)-FIND("(",C24)-1))))),0,VALUE(TRIM(CLEAN(MID(C24,FIND("(",C24)+1,FIND("/",C24,1)-FIND("(",C24)-1)))))</f>
        <v>16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52</v>
      </c>
      <c r="C7" s="17">
        <f>SUM(C2:C5)</f>
        <v>52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964</v>
      </c>
    </row>
    <row r="20" spans="1:8" x14ac:dyDescent="0.2">
      <c r="C20" s="5" t="s">
        <v>744</v>
      </c>
    </row>
    <row r="21" spans="1:8" x14ac:dyDescent="0.2">
      <c r="C21" s="5" t="s">
        <v>704</v>
      </c>
    </row>
    <row r="22" spans="1:8" x14ac:dyDescent="0.2">
      <c r="C22" s="5" t="s">
        <v>856</v>
      </c>
    </row>
    <row r="23" spans="1:8" x14ac:dyDescent="0.2">
      <c r="C23" s="5" t="s">
        <v>965</v>
      </c>
    </row>
    <row r="24" spans="1:8" x14ac:dyDescent="0.2">
      <c r="C24" s="5" t="s">
        <v>966</v>
      </c>
    </row>
    <row r="25" spans="1:8" x14ac:dyDescent="0.2">
      <c r="B25" s="5" t="s">
        <v>967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968</v>
      </c>
    </row>
    <row r="32" spans="1:8" x14ac:dyDescent="0.2">
      <c r="D32" s="5" t="s">
        <v>709</v>
      </c>
    </row>
    <row r="33" spans="2:4" x14ac:dyDescent="0.2">
      <c r="D33" s="5" t="s">
        <v>704</v>
      </c>
    </row>
    <row r="34" spans="2:4" x14ac:dyDescent="0.2">
      <c r="D34" s="5" t="s">
        <v>710</v>
      </c>
    </row>
    <row r="35" spans="2:4" x14ac:dyDescent="0.2">
      <c r="D35" s="5" t="s">
        <v>711</v>
      </c>
    </row>
    <row r="36" spans="2:4" x14ac:dyDescent="0.2">
      <c r="D36" s="5" t="s">
        <v>712</v>
      </c>
    </row>
    <row r="37" spans="2:4" x14ac:dyDescent="0.2">
      <c r="B37" s="5" t="s">
        <v>969</v>
      </c>
    </row>
    <row r="38" spans="2:4" x14ac:dyDescent="0.2">
      <c r="D38" s="5" t="s">
        <v>709</v>
      </c>
    </row>
    <row r="39" spans="2:4" x14ac:dyDescent="0.2">
      <c r="D39" s="5" t="s">
        <v>704</v>
      </c>
    </row>
    <row r="40" spans="2:4" x14ac:dyDescent="0.2">
      <c r="D40" s="5" t="s">
        <v>710</v>
      </c>
    </row>
    <row r="41" spans="2:4" x14ac:dyDescent="0.2">
      <c r="D41" s="5" t="s">
        <v>965</v>
      </c>
    </row>
    <row r="42" spans="2:4" x14ac:dyDescent="0.2">
      <c r="D42" s="5" t="s">
        <v>966</v>
      </c>
    </row>
    <row r="43" spans="2:4" x14ac:dyDescent="0.2">
      <c r="B43" s="5" t="s">
        <v>970</v>
      </c>
    </row>
    <row r="44" spans="2:4" x14ac:dyDescent="0.2">
      <c r="D44" s="5" t="s">
        <v>709</v>
      </c>
    </row>
    <row r="45" spans="2:4" x14ac:dyDescent="0.2">
      <c r="D45" s="5" t="s">
        <v>704</v>
      </c>
    </row>
    <row r="46" spans="2:4" x14ac:dyDescent="0.2">
      <c r="D46" s="5" t="s">
        <v>710</v>
      </c>
    </row>
    <row r="47" spans="2:4" x14ac:dyDescent="0.2">
      <c r="D47" s="5" t="s">
        <v>711</v>
      </c>
    </row>
    <row r="48" spans="2:4" x14ac:dyDescent="0.2">
      <c r="D48" s="5" t="s">
        <v>712</v>
      </c>
    </row>
  </sheetData>
  <autoFilter ref="A18:H18"/>
  <conditionalFormatting sqref="C17">
    <cfRule type="cellIs" dxfId="49" priority="1" stopIfTrue="1" operator="equal">
      <formula>$B$10</formula>
    </cfRule>
    <cfRule type="cellIs" dxfId="4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32</v>
      </c>
      <c r="C4" s="16">
        <f>IF(ISERROR(VALUE(TRIM(CLEAN(MID(C23,FIND("(",C23)+1,FIND("/",C23,1)-FIND("(",C23)-1))))),0,VALUE(TRIM(CLEAN(MID(C23,FIND("(",C23)+1,FIND("/",C23,1)-FIND("(",C23)-1)))))</f>
        <v>32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16</v>
      </c>
      <c r="C5" s="16">
        <f>IF(ISERROR(VALUE(TRIM(CLEAN(MID(C24,FIND("(",C24)+1,FIND("/",C24,1)-FIND("(",C24)-1))))),0,VALUE(TRIM(CLEAN(MID(C24,FIND("(",C24)+1,FIND("/",C24,1)-FIND("(",C24)-1)))))</f>
        <v>16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50</v>
      </c>
      <c r="C7" s="17">
        <f>SUM(C2:C5)</f>
        <v>50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972</v>
      </c>
    </row>
    <row r="20" spans="1:8" x14ac:dyDescent="0.2">
      <c r="C20" s="5" t="s">
        <v>787</v>
      </c>
    </row>
    <row r="21" spans="1:8" x14ac:dyDescent="0.2">
      <c r="C21" s="5" t="s">
        <v>704</v>
      </c>
    </row>
    <row r="22" spans="1:8" x14ac:dyDescent="0.2">
      <c r="C22" s="5" t="s">
        <v>788</v>
      </c>
    </row>
    <row r="23" spans="1:8" x14ac:dyDescent="0.2">
      <c r="C23" s="5" t="s">
        <v>965</v>
      </c>
    </row>
    <row r="24" spans="1:8" x14ac:dyDescent="0.2">
      <c r="C24" s="5" t="s">
        <v>966</v>
      </c>
    </row>
    <row r="25" spans="1:8" x14ac:dyDescent="0.2">
      <c r="B25" s="5" t="s">
        <v>973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974</v>
      </c>
    </row>
    <row r="32" spans="1:8" x14ac:dyDescent="0.2">
      <c r="D32" s="5" t="s">
        <v>709</v>
      </c>
    </row>
    <row r="33" spans="4:4" x14ac:dyDescent="0.2">
      <c r="D33" s="5" t="s">
        <v>704</v>
      </c>
    </row>
    <row r="34" spans="4:4" x14ac:dyDescent="0.2">
      <c r="D34" s="5" t="s">
        <v>710</v>
      </c>
    </row>
    <row r="35" spans="4:4" x14ac:dyDescent="0.2">
      <c r="D35" s="5" t="s">
        <v>965</v>
      </c>
    </row>
    <row r="36" spans="4:4" x14ac:dyDescent="0.2">
      <c r="D36" s="5" t="s">
        <v>966</v>
      </c>
    </row>
  </sheetData>
  <autoFilter ref="A18:H18"/>
  <conditionalFormatting sqref="C17">
    <cfRule type="cellIs" dxfId="47" priority="1" stopIfTrue="1" operator="equal">
      <formula>$B$10</formula>
    </cfRule>
    <cfRule type="cellIs" dxfId="4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indexed="11"/>
  </sheetPr>
  <dimension ref="A1:H94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119</v>
      </c>
      <c r="C2" s="15">
        <f>IF(ISERROR(VALUE(TRIM(CLEAN(MID(C20,FIND("(",C20)+1,FIND("/",C20,1)-FIND("(",C20)-1))))),0,VALUE(TRIM(CLEAN(MID(C20,FIND("(",C20)+1,FIND("/",C20,1)-FIND("(",C20)-1)))))</f>
        <v>119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7</v>
      </c>
      <c r="C3" s="16">
        <f>IF(ISERROR(VALUE(TRIM(CLEAN(MID(C21,FIND("(",C21)+1,FIND("/",C21,1)-FIND("(",C21)-1))))),0,VALUE(TRIM(CLEAN(MID(C21,FIND("(",C21)+1,FIND("/",C21,1)-FIND("(",C21)-1)))))</f>
        <v>7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181</v>
      </c>
      <c r="C4" s="16">
        <f>IF(ISERROR(VALUE(TRIM(CLEAN(MID(C23,FIND("(",C23)+1,FIND("/",C23,1)-FIND("(",C23)-1))))),0,VALUE(TRIM(CLEAN(MID(C23,FIND("(",C23)+1,FIND("/",C23,1)-FIND("(",C23)-1)))))</f>
        <v>179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50</v>
      </c>
      <c r="C5" s="16">
        <f>IF(ISERROR(VALUE(TRIM(CLEAN(MID(C24,FIND("(",C24)+1,FIND("/",C24,1)-FIND("(",C24)-1))))),0,VALUE(TRIM(CLEAN(MID(C24,FIND("(",C24)+1,FIND("/",C24,1)-FIND("(",C24)-1)))))</f>
        <v>48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357</v>
      </c>
      <c r="C7" s="17">
        <f>SUM(C2:C5)</f>
        <v>353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4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4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4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976</v>
      </c>
    </row>
    <row r="20" spans="1:8" x14ac:dyDescent="0.2">
      <c r="C20" s="5" t="s">
        <v>977</v>
      </c>
    </row>
    <row r="21" spans="1:8" x14ac:dyDescent="0.2">
      <c r="C21" s="5" t="s">
        <v>978</v>
      </c>
    </row>
    <row r="22" spans="1:8" x14ac:dyDescent="0.2">
      <c r="C22" s="5" t="s">
        <v>979</v>
      </c>
    </row>
    <row r="23" spans="1:8" x14ac:dyDescent="0.2">
      <c r="C23" s="5" t="s">
        <v>980</v>
      </c>
    </row>
    <row r="24" spans="1:8" x14ac:dyDescent="0.2">
      <c r="C24" s="5" t="s">
        <v>981</v>
      </c>
    </row>
    <row r="25" spans="1:8" x14ac:dyDescent="0.2">
      <c r="B25" s="5" t="s">
        <v>982</v>
      </c>
    </row>
    <row r="26" spans="1:8" x14ac:dyDescent="0.2">
      <c r="D26" s="5" t="s">
        <v>953</v>
      </c>
    </row>
    <row r="27" spans="1:8" x14ac:dyDescent="0.2">
      <c r="D27" s="5" t="s">
        <v>704</v>
      </c>
    </row>
    <row r="28" spans="1:8" x14ac:dyDescent="0.2">
      <c r="D28" s="5" t="s">
        <v>745</v>
      </c>
    </row>
    <row r="29" spans="1:8" x14ac:dyDescent="0.2">
      <c r="D29" s="5" t="s">
        <v>762</v>
      </c>
    </row>
    <row r="30" spans="1:8" x14ac:dyDescent="0.2">
      <c r="D30" s="5" t="s">
        <v>722</v>
      </c>
    </row>
    <row r="31" spans="1:8" x14ac:dyDescent="0.2">
      <c r="B31" s="5" t="s">
        <v>983</v>
      </c>
    </row>
    <row r="32" spans="1:8" x14ac:dyDescent="0.2">
      <c r="D32" s="5" t="s">
        <v>812</v>
      </c>
    </row>
    <row r="33" spans="2:4" x14ac:dyDescent="0.2">
      <c r="D33" s="5" t="s">
        <v>704</v>
      </c>
    </row>
    <row r="34" spans="2:4" x14ac:dyDescent="0.2">
      <c r="D34" s="5" t="s">
        <v>813</v>
      </c>
    </row>
    <row r="35" spans="2:4" x14ac:dyDescent="0.2">
      <c r="D35" s="5" t="s">
        <v>814</v>
      </c>
    </row>
    <row r="36" spans="2:4" x14ac:dyDescent="0.2">
      <c r="D36" s="5" t="s">
        <v>712</v>
      </c>
    </row>
    <row r="37" spans="2:4" x14ac:dyDescent="0.2">
      <c r="B37" s="5" t="s">
        <v>984</v>
      </c>
    </row>
    <row r="38" spans="2:4" x14ac:dyDescent="0.2">
      <c r="D38" s="5" t="s">
        <v>812</v>
      </c>
    </row>
    <row r="39" spans="2:4" x14ac:dyDescent="0.2">
      <c r="D39" s="5" t="s">
        <v>704</v>
      </c>
    </row>
    <row r="40" spans="2:4" x14ac:dyDescent="0.2">
      <c r="D40" s="5" t="s">
        <v>813</v>
      </c>
    </row>
    <row r="41" spans="2:4" x14ac:dyDescent="0.2">
      <c r="D41" s="5" t="s">
        <v>814</v>
      </c>
    </row>
    <row r="42" spans="2:4" x14ac:dyDescent="0.2">
      <c r="D42" s="5" t="s">
        <v>712</v>
      </c>
    </row>
    <row r="43" spans="2:4" x14ac:dyDescent="0.2">
      <c r="B43" s="5" t="s">
        <v>985</v>
      </c>
    </row>
    <row r="44" spans="2:4" x14ac:dyDescent="0.2">
      <c r="D44" s="5" t="s">
        <v>956</v>
      </c>
    </row>
    <row r="45" spans="2:4" x14ac:dyDescent="0.2">
      <c r="D45" s="5" t="s">
        <v>704</v>
      </c>
    </row>
    <row r="46" spans="2:4" x14ac:dyDescent="0.2">
      <c r="D46" s="5" t="s">
        <v>957</v>
      </c>
    </row>
    <row r="47" spans="2:4" x14ac:dyDescent="0.2">
      <c r="D47" s="5" t="s">
        <v>986</v>
      </c>
    </row>
    <row r="48" spans="2:4" x14ac:dyDescent="0.2">
      <c r="D48" s="5" t="s">
        <v>803</v>
      </c>
    </row>
    <row r="49" spans="2:4" x14ac:dyDescent="0.2">
      <c r="B49" s="5" t="s">
        <v>987</v>
      </c>
    </row>
    <row r="50" spans="2:4" x14ac:dyDescent="0.2">
      <c r="D50" s="5" t="s">
        <v>869</v>
      </c>
    </row>
    <row r="51" spans="2:4" x14ac:dyDescent="0.2">
      <c r="D51" s="5" t="s">
        <v>704</v>
      </c>
    </row>
    <row r="52" spans="2:4" x14ac:dyDescent="0.2">
      <c r="D52" s="5" t="s">
        <v>824</v>
      </c>
    </row>
    <row r="53" spans="2:4" x14ac:dyDescent="0.2">
      <c r="D53" s="5" t="s">
        <v>988</v>
      </c>
    </row>
    <row r="54" spans="2:4" x14ac:dyDescent="0.2">
      <c r="D54" s="5" t="s">
        <v>741</v>
      </c>
    </row>
    <row r="55" spans="2:4" x14ac:dyDescent="0.2">
      <c r="B55" s="5" t="s">
        <v>989</v>
      </c>
    </row>
    <row r="56" spans="2:4" x14ac:dyDescent="0.2">
      <c r="D56" s="5" t="s">
        <v>823</v>
      </c>
    </row>
    <row r="57" spans="2:4" x14ac:dyDescent="0.2">
      <c r="D57" s="5" t="s">
        <v>719</v>
      </c>
    </row>
    <row r="58" spans="2:4" x14ac:dyDescent="0.2">
      <c r="D58" s="5" t="s">
        <v>824</v>
      </c>
    </row>
    <row r="59" spans="2:4" x14ac:dyDescent="0.2">
      <c r="D59" s="5" t="s">
        <v>825</v>
      </c>
    </row>
    <row r="60" spans="2:4" x14ac:dyDescent="0.2">
      <c r="D60" s="5" t="s">
        <v>712</v>
      </c>
    </row>
    <row r="61" spans="2:4" x14ac:dyDescent="0.2">
      <c r="B61" s="5" t="s">
        <v>990</v>
      </c>
    </row>
    <row r="62" spans="2:4" x14ac:dyDescent="0.2">
      <c r="D62" s="5" t="s">
        <v>991</v>
      </c>
    </row>
    <row r="63" spans="2:4" x14ac:dyDescent="0.2">
      <c r="D63" s="5" t="s">
        <v>704</v>
      </c>
    </row>
    <row r="64" spans="2:4" x14ac:dyDescent="0.2">
      <c r="D64" s="5" t="s">
        <v>992</v>
      </c>
    </row>
    <row r="65" spans="2:8" x14ac:dyDescent="0.2">
      <c r="D65" s="5" t="s">
        <v>993</v>
      </c>
    </row>
    <row r="66" spans="2:8" x14ac:dyDescent="0.2">
      <c r="E66" s="5" t="s">
        <v>994</v>
      </c>
      <c r="F66" s="5">
        <v>449</v>
      </c>
      <c r="G66" s="5" t="s">
        <v>19</v>
      </c>
      <c r="H66" s="5" t="s">
        <v>1245</v>
      </c>
    </row>
    <row r="67" spans="2:8" x14ac:dyDescent="0.2">
      <c r="D67" s="5" t="s">
        <v>995</v>
      </c>
    </row>
    <row r="68" spans="2:8" x14ac:dyDescent="0.2">
      <c r="E68" s="5" t="s">
        <v>996</v>
      </c>
      <c r="F68" s="5">
        <v>449</v>
      </c>
      <c r="G68" s="5" t="s">
        <v>19</v>
      </c>
      <c r="H68" s="5" t="s">
        <v>1245</v>
      </c>
    </row>
    <row r="69" spans="2:8" x14ac:dyDescent="0.2">
      <c r="B69" s="5" t="s">
        <v>997</v>
      </c>
    </row>
    <row r="70" spans="2:8" x14ac:dyDescent="0.2">
      <c r="D70" s="5" t="s">
        <v>709</v>
      </c>
    </row>
    <row r="71" spans="2:8" x14ac:dyDescent="0.2">
      <c r="D71" s="5" t="s">
        <v>704</v>
      </c>
    </row>
    <row r="72" spans="2:8" x14ac:dyDescent="0.2">
      <c r="D72" s="5" t="s">
        <v>710</v>
      </c>
    </row>
    <row r="73" spans="2:8" x14ac:dyDescent="0.2">
      <c r="D73" s="5" t="s">
        <v>711</v>
      </c>
    </row>
    <row r="74" spans="2:8" x14ac:dyDescent="0.2">
      <c r="D74" s="5" t="s">
        <v>712</v>
      </c>
    </row>
    <row r="75" spans="2:8" x14ac:dyDescent="0.2">
      <c r="B75" s="5" t="s">
        <v>998</v>
      </c>
    </row>
    <row r="76" spans="2:8" x14ac:dyDescent="0.2">
      <c r="D76" s="5" t="s">
        <v>999</v>
      </c>
    </row>
    <row r="77" spans="2:8" x14ac:dyDescent="0.2">
      <c r="D77" s="5" t="s">
        <v>1000</v>
      </c>
    </row>
    <row r="78" spans="2:8" x14ac:dyDescent="0.2">
      <c r="D78" s="5" t="s">
        <v>1001</v>
      </c>
    </row>
    <row r="79" spans="2:8" x14ac:dyDescent="0.2">
      <c r="D79" s="5" t="s">
        <v>1002</v>
      </c>
    </row>
    <row r="80" spans="2:8" x14ac:dyDescent="0.2">
      <c r="E80" s="5" t="s">
        <v>1003</v>
      </c>
      <c r="F80" s="5">
        <v>808</v>
      </c>
      <c r="G80" s="5" t="s">
        <v>19</v>
      </c>
      <c r="H80" s="5" t="s">
        <v>1245</v>
      </c>
    </row>
    <row r="81" spans="2:8" x14ac:dyDescent="0.2">
      <c r="D81" s="5" t="s">
        <v>1004</v>
      </c>
    </row>
    <row r="82" spans="2:8" x14ac:dyDescent="0.2">
      <c r="E82" s="5" t="s">
        <v>1005</v>
      </c>
      <c r="F82" s="5">
        <v>808</v>
      </c>
      <c r="G82" s="5" t="s">
        <v>19</v>
      </c>
      <c r="H82" s="5" t="s">
        <v>1245</v>
      </c>
    </row>
    <row r="83" spans="2:8" x14ac:dyDescent="0.2">
      <c r="B83" s="5" t="s">
        <v>1006</v>
      </c>
    </row>
    <row r="84" spans="2:8" x14ac:dyDescent="0.2">
      <c r="D84" s="5" t="s">
        <v>709</v>
      </c>
    </row>
    <row r="85" spans="2:8" x14ac:dyDescent="0.2">
      <c r="D85" s="5" t="s">
        <v>704</v>
      </c>
    </row>
    <row r="86" spans="2:8" x14ac:dyDescent="0.2">
      <c r="D86" s="5" t="s">
        <v>710</v>
      </c>
    </row>
    <row r="87" spans="2:8" x14ac:dyDescent="0.2">
      <c r="D87" s="5" t="s">
        <v>711</v>
      </c>
    </row>
    <row r="88" spans="2:8" x14ac:dyDescent="0.2">
      <c r="D88" s="5" t="s">
        <v>712</v>
      </c>
    </row>
    <row r="89" spans="2:8" x14ac:dyDescent="0.2">
      <c r="B89" s="5" t="s">
        <v>1007</v>
      </c>
    </row>
    <row r="90" spans="2:8" x14ac:dyDescent="0.2">
      <c r="D90" s="5" t="s">
        <v>709</v>
      </c>
    </row>
    <row r="91" spans="2:8" x14ac:dyDescent="0.2">
      <c r="D91" s="5" t="s">
        <v>704</v>
      </c>
    </row>
    <row r="92" spans="2:8" x14ac:dyDescent="0.2">
      <c r="D92" s="5" t="s">
        <v>710</v>
      </c>
    </row>
    <row r="93" spans="2:8" x14ac:dyDescent="0.2">
      <c r="D93" s="5" t="s">
        <v>711</v>
      </c>
    </row>
    <row r="94" spans="2:8" x14ac:dyDescent="0.2">
      <c r="D94" s="5" t="s">
        <v>712</v>
      </c>
    </row>
  </sheetData>
  <autoFilter ref="A18:H18"/>
  <conditionalFormatting sqref="C17">
    <cfRule type="cellIs" dxfId="45" priority="1" stopIfTrue="1" operator="equal">
      <formula>$B$10</formula>
    </cfRule>
    <cfRule type="cellIs" dxfId="4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4</v>
      </c>
      <c r="C2" s="15">
        <f>IF(ISERROR(VALUE(TRIM(CLEAN(MID(C20,FIND("(",C20)+1,FIND("/",C20,1)-FIND("(",C20)-1))))),0,VALUE(TRIM(CLEAN(MID(C20,FIND("(",C20)+1,FIND("/",C20,1)-FIND("(",C20)-1)))))</f>
        <v>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4</v>
      </c>
      <c r="C7" s="17">
        <f>SUM(C2:C5)</f>
        <v>4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1009</v>
      </c>
    </row>
    <row r="20" spans="1:8" x14ac:dyDescent="0.2">
      <c r="C20" s="5" t="s">
        <v>744</v>
      </c>
    </row>
    <row r="21" spans="1:8" x14ac:dyDescent="0.2">
      <c r="C21" s="5" t="s">
        <v>704</v>
      </c>
    </row>
    <row r="22" spans="1:8" x14ac:dyDescent="0.2">
      <c r="C22" s="5" t="s">
        <v>856</v>
      </c>
    </row>
    <row r="23" spans="1:8" x14ac:dyDescent="0.2">
      <c r="C23" s="5" t="s">
        <v>711</v>
      </c>
    </row>
    <row r="24" spans="1:8" x14ac:dyDescent="0.2">
      <c r="C24" s="5" t="s">
        <v>712</v>
      </c>
    </row>
    <row r="25" spans="1:8" x14ac:dyDescent="0.2">
      <c r="B25" s="5" t="s">
        <v>1010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1011</v>
      </c>
    </row>
    <row r="32" spans="1:8" x14ac:dyDescent="0.2">
      <c r="D32" s="5" t="s">
        <v>709</v>
      </c>
    </row>
    <row r="33" spans="2:4" x14ac:dyDescent="0.2">
      <c r="D33" s="5" t="s">
        <v>704</v>
      </c>
    </row>
    <row r="34" spans="2:4" x14ac:dyDescent="0.2">
      <c r="D34" s="5" t="s">
        <v>710</v>
      </c>
    </row>
    <row r="35" spans="2:4" x14ac:dyDescent="0.2">
      <c r="D35" s="5" t="s">
        <v>711</v>
      </c>
    </row>
    <row r="36" spans="2:4" x14ac:dyDescent="0.2">
      <c r="D36" s="5" t="s">
        <v>712</v>
      </c>
    </row>
    <row r="37" spans="2:4" x14ac:dyDescent="0.2">
      <c r="B37" s="5" t="s">
        <v>1012</v>
      </c>
    </row>
    <row r="38" spans="2:4" x14ac:dyDescent="0.2">
      <c r="D38" s="5" t="s">
        <v>709</v>
      </c>
    </row>
    <row r="39" spans="2:4" x14ac:dyDescent="0.2">
      <c r="D39" s="5" t="s">
        <v>704</v>
      </c>
    </row>
    <row r="40" spans="2:4" x14ac:dyDescent="0.2">
      <c r="D40" s="5" t="s">
        <v>710</v>
      </c>
    </row>
    <row r="41" spans="2:4" x14ac:dyDescent="0.2">
      <c r="D41" s="5" t="s">
        <v>711</v>
      </c>
    </row>
    <row r="42" spans="2:4" x14ac:dyDescent="0.2">
      <c r="D42" s="5" t="s">
        <v>712</v>
      </c>
    </row>
    <row r="43" spans="2:4" x14ac:dyDescent="0.2">
      <c r="B43" s="5" t="s">
        <v>1013</v>
      </c>
    </row>
    <row r="44" spans="2:4" x14ac:dyDescent="0.2">
      <c r="D44" s="5" t="s">
        <v>709</v>
      </c>
    </row>
    <row r="45" spans="2:4" x14ac:dyDescent="0.2">
      <c r="D45" s="5" t="s">
        <v>704</v>
      </c>
    </row>
    <row r="46" spans="2:4" x14ac:dyDescent="0.2">
      <c r="D46" s="5" t="s">
        <v>710</v>
      </c>
    </row>
    <row r="47" spans="2:4" x14ac:dyDescent="0.2">
      <c r="D47" s="5" t="s">
        <v>711</v>
      </c>
    </row>
    <row r="48" spans="2:4" x14ac:dyDescent="0.2">
      <c r="D48" s="5" t="s">
        <v>712</v>
      </c>
    </row>
  </sheetData>
  <autoFilter ref="A18:H18"/>
  <conditionalFormatting sqref="C17">
    <cfRule type="cellIs" dxfId="43" priority="1" stopIfTrue="1" operator="equal">
      <formula>$B$10</formula>
    </cfRule>
    <cfRule type="cellIs" dxfId="4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36</v>
      </c>
      <c r="C2" s="15">
        <f>IF(ISERROR(VALUE(TRIM(CLEAN(MID(C20,FIND("(",C20)+1,FIND("/",C20,1)-FIND("(",C20)-1))))),0,VALUE(TRIM(CLEAN(MID(C20,FIND("(",C20)+1,FIND("/",C20,1)-FIND("(",C20)-1)))))</f>
        <v>36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6</v>
      </c>
      <c r="C3" s="16">
        <f>IF(ISERROR(VALUE(TRIM(CLEAN(MID(C21,FIND("(",C21)+1,FIND("/",C21,1)-FIND("(",C21)-1))))),0,VALUE(TRIM(CLEAN(MID(C21,FIND("(",C21)+1,FIND("/",C21,1)-FIND("(",C21)-1)))))</f>
        <v>6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74</v>
      </c>
      <c r="C4" s="16">
        <f>IF(ISERROR(VALUE(TRIM(CLEAN(MID(C23,FIND("(",C23)+1,FIND("/",C23,1)-FIND("(",C23)-1))))),0,VALUE(TRIM(CLEAN(MID(C23,FIND("(",C23)+1,FIND("/",C23,1)-FIND("(",C23)-1)))))</f>
        <v>74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18</v>
      </c>
      <c r="C5" s="16">
        <f>IF(ISERROR(VALUE(TRIM(CLEAN(MID(C24,FIND("(",C24)+1,FIND("/",C24,1)-FIND("(",C24)-1))))),0,VALUE(TRIM(CLEAN(MID(C24,FIND("(",C24)+1,FIND("/",C24,1)-FIND("(",C24)-1)))))</f>
        <v>18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134</v>
      </c>
      <c r="C7" s="17">
        <f>SUM(C2:C5)</f>
        <v>134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1015</v>
      </c>
    </row>
    <row r="20" spans="1:8" x14ac:dyDescent="0.2">
      <c r="C20" s="5" t="s">
        <v>1016</v>
      </c>
    </row>
    <row r="21" spans="1:8" x14ac:dyDescent="0.2">
      <c r="C21" s="5" t="s">
        <v>1000</v>
      </c>
    </row>
    <row r="22" spans="1:8" x14ac:dyDescent="0.2">
      <c r="C22" s="5" t="s">
        <v>1017</v>
      </c>
    </row>
    <row r="23" spans="1:8" x14ac:dyDescent="0.2">
      <c r="C23" s="5" t="s">
        <v>1018</v>
      </c>
    </row>
    <row r="24" spans="1:8" x14ac:dyDescent="0.2">
      <c r="C24" s="5" t="s">
        <v>770</v>
      </c>
    </row>
    <row r="25" spans="1:8" x14ac:dyDescent="0.2">
      <c r="B25" s="5" t="s">
        <v>1019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1020</v>
      </c>
    </row>
    <row r="32" spans="1:8" x14ac:dyDescent="0.2">
      <c r="D32" s="5" t="s">
        <v>1021</v>
      </c>
    </row>
    <row r="33" spans="4:4" x14ac:dyDescent="0.2">
      <c r="D33" s="5" t="s">
        <v>1000</v>
      </c>
    </row>
    <row r="34" spans="4:4" x14ac:dyDescent="0.2">
      <c r="D34" s="5" t="s">
        <v>1022</v>
      </c>
    </row>
    <row r="35" spans="4:4" x14ac:dyDescent="0.2">
      <c r="D35" s="5" t="s">
        <v>1018</v>
      </c>
    </row>
    <row r="36" spans="4:4" x14ac:dyDescent="0.2">
      <c r="D36" s="5" t="s">
        <v>770</v>
      </c>
    </row>
  </sheetData>
  <autoFilter ref="A18:H18"/>
  <conditionalFormatting sqref="C17">
    <cfRule type="cellIs" dxfId="41" priority="1" stopIfTrue="1" operator="equal">
      <formula>$B$10</formula>
    </cfRule>
    <cfRule type="cellIs" dxfId="4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4</v>
      </c>
      <c r="C2" s="15">
        <f>IF(ISERROR(VALUE(TRIM(CLEAN(MID(C20,FIND("(",C20)+1,FIND("/",C20,1)-FIND("(",C20)-1))))),0,VALUE(TRIM(CLEAN(MID(C20,FIND("(",C20)+1,FIND("/",C20,1)-FIND("(",C20)-1)))))</f>
        <v>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4</v>
      </c>
      <c r="C7" s="17">
        <f>SUM(C2:C5)</f>
        <v>4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1024</v>
      </c>
    </row>
    <row r="20" spans="1:8" x14ac:dyDescent="0.2">
      <c r="C20" s="5" t="s">
        <v>744</v>
      </c>
    </row>
    <row r="21" spans="1:8" x14ac:dyDescent="0.2">
      <c r="C21" s="5" t="s">
        <v>704</v>
      </c>
    </row>
    <row r="22" spans="1:8" x14ac:dyDescent="0.2">
      <c r="C22" s="5" t="s">
        <v>856</v>
      </c>
    </row>
    <row r="23" spans="1:8" x14ac:dyDescent="0.2">
      <c r="C23" s="5" t="s">
        <v>711</v>
      </c>
    </row>
    <row r="24" spans="1:8" x14ac:dyDescent="0.2">
      <c r="C24" s="5" t="s">
        <v>712</v>
      </c>
    </row>
    <row r="25" spans="1:8" x14ac:dyDescent="0.2">
      <c r="B25" s="5" t="s">
        <v>1025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1026</v>
      </c>
    </row>
    <row r="32" spans="1:8" x14ac:dyDescent="0.2">
      <c r="D32" s="5" t="s">
        <v>709</v>
      </c>
    </row>
    <row r="33" spans="2:4" x14ac:dyDescent="0.2">
      <c r="D33" s="5" t="s">
        <v>704</v>
      </c>
    </row>
    <row r="34" spans="2:4" x14ac:dyDescent="0.2">
      <c r="D34" s="5" t="s">
        <v>710</v>
      </c>
    </row>
    <row r="35" spans="2:4" x14ac:dyDescent="0.2">
      <c r="D35" s="5" t="s">
        <v>711</v>
      </c>
    </row>
    <row r="36" spans="2:4" x14ac:dyDescent="0.2">
      <c r="D36" s="5" t="s">
        <v>712</v>
      </c>
    </row>
    <row r="37" spans="2:4" x14ac:dyDescent="0.2">
      <c r="B37" s="5" t="s">
        <v>1027</v>
      </c>
    </row>
    <row r="38" spans="2:4" x14ac:dyDescent="0.2">
      <c r="D38" s="5" t="s">
        <v>709</v>
      </c>
    </row>
    <row r="39" spans="2:4" x14ac:dyDescent="0.2">
      <c r="D39" s="5" t="s">
        <v>704</v>
      </c>
    </row>
    <row r="40" spans="2:4" x14ac:dyDescent="0.2">
      <c r="D40" s="5" t="s">
        <v>710</v>
      </c>
    </row>
    <row r="41" spans="2:4" x14ac:dyDescent="0.2">
      <c r="D41" s="5" t="s">
        <v>711</v>
      </c>
    </row>
    <row r="42" spans="2:4" x14ac:dyDescent="0.2">
      <c r="D42" s="5" t="s">
        <v>712</v>
      </c>
    </row>
    <row r="43" spans="2:4" x14ac:dyDescent="0.2">
      <c r="B43" s="5" t="s">
        <v>1028</v>
      </c>
    </row>
    <row r="44" spans="2:4" x14ac:dyDescent="0.2">
      <c r="D44" s="5" t="s">
        <v>709</v>
      </c>
    </row>
    <row r="45" spans="2:4" x14ac:dyDescent="0.2">
      <c r="D45" s="5" t="s">
        <v>704</v>
      </c>
    </row>
    <row r="46" spans="2:4" x14ac:dyDescent="0.2">
      <c r="D46" s="5" t="s">
        <v>710</v>
      </c>
    </row>
    <row r="47" spans="2:4" x14ac:dyDescent="0.2">
      <c r="D47" s="5" t="s">
        <v>711</v>
      </c>
    </row>
    <row r="48" spans="2:4" x14ac:dyDescent="0.2">
      <c r="D48" s="5" t="s">
        <v>712</v>
      </c>
    </row>
  </sheetData>
  <autoFilter ref="A18:H18"/>
  <conditionalFormatting sqref="C17">
    <cfRule type="cellIs" dxfId="39" priority="1" stopIfTrue="1" operator="equal">
      <formula>$B$10</formula>
    </cfRule>
    <cfRule type="cellIs" dxfId="3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indexed="11"/>
  </sheetPr>
  <dimension ref="A1:H96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62</v>
      </c>
      <c r="C2" s="15">
        <f>IF(ISERROR(VALUE(TRIM(CLEAN(MID(C20,FIND("(",C20)+1,FIND("/",C20,1)-FIND("(",C20)-1))))),0,VALUE(TRIM(CLEAN(MID(C20,FIND("(",C20)+1,FIND("/",C20,1)-FIND("(",C20)-1)))))</f>
        <v>60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27</v>
      </c>
      <c r="C3" s="16">
        <f>IF(ISERROR(VALUE(TRIM(CLEAN(MID(C21,FIND("(",C21)+1,FIND("/",C21,1)-FIND("(",C21)-1))))),0,VALUE(TRIM(CLEAN(MID(C21,FIND("(",C21)+1,FIND("/",C21,1)-FIND("(",C21)-1)))))</f>
        <v>26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584</v>
      </c>
      <c r="C4" s="16">
        <f>IF(ISERROR(VALUE(TRIM(CLEAN(MID(C23,FIND("(",C23)+1,FIND("/",C23,1)-FIND("(",C23)-1))))),0,VALUE(TRIM(CLEAN(MID(C23,FIND("(",C23)+1,FIND("/",C23,1)-FIND("(",C23)-1)))))</f>
        <v>581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253</v>
      </c>
      <c r="C5" s="16">
        <f>IF(ISERROR(VALUE(TRIM(CLEAN(MID(C24,FIND("(",C24)+1,FIND("/",C24,1)-FIND("(",C24)-1))))),0,VALUE(TRIM(CLEAN(MID(C24,FIND("(",C24)+1,FIND("/",C24,1)-FIND("(",C24)-1)))))</f>
        <v>253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926</v>
      </c>
      <c r="C7" s="17">
        <f>SUM(C2:C5)</f>
        <v>920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6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6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6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1030</v>
      </c>
    </row>
    <row r="20" spans="1:8" x14ac:dyDescent="0.2">
      <c r="C20" s="5" t="s">
        <v>1031</v>
      </c>
    </row>
    <row r="21" spans="1:8" x14ac:dyDescent="0.2">
      <c r="C21" s="5" t="s">
        <v>1032</v>
      </c>
    </row>
    <row r="22" spans="1:8" x14ac:dyDescent="0.2">
      <c r="C22" s="5" t="s">
        <v>1033</v>
      </c>
    </row>
    <row r="23" spans="1:8" x14ac:dyDescent="0.2">
      <c r="C23" s="5" t="s">
        <v>1034</v>
      </c>
    </row>
    <row r="24" spans="1:8" x14ac:dyDescent="0.2">
      <c r="C24" s="5" t="s">
        <v>1035</v>
      </c>
    </row>
    <row r="25" spans="1:8" x14ac:dyDescent="0.2">
      <c r="B25" s="5" t="s">
        <v>1036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1037</v>
      </c>
    </row>
    <row r="32" spans="1:8" x14ac:dyDescent="0.2">
      <c r="D32" s="5" t="s">
        <v>709</v>
      </c>
    </row>
    <row r="33" spans="2:4" x14ac:dyDescent="0.2">
      <c r="D33" s="5" t="s">
        <v>704</v>
      </c>
    </row>
    <row r="34" spans="2:4" x14ac:dyDescent="0.2">
      <c r="D34" s="5" t="s">
        <v>710</v>
      </c>
    </row>
    <row r="35" spans="2:4" x14ac:dyDescent="0.2">
      <c r="D35" s="5" t="s">
        <v>711</v>
      </c>
    </row>
    <row r="36" spans="2:4" x14ac:dyDescent="0.2">
      <c r="D36" s="5" t="s">
        <v>712</v>
      </c>
    </row>
    <row r="37" spans="2:4" x14ac:dyDescent="0.2">
      <c r="B37" s="5" t="s">
        <v>1038</v>
      </c>
    </row>
    <row r="38" spans="2:4" x14ac:dyDescent="0.2">
      <c r="D38" s="5" t="s">
        <v>709</v>
      </c>
    </row>
    <row r="39" spans="2:4" x14ac:dyDescent="0.2">
      <c r="D39" s="5" t="s">
        <v>704</v>
      </c>
    </row>
    <row r="40" spans="2:4" x14ac:dyDescent="0.2">
      <c r="D40" s="5" t="s">
        <v>710</v>
      </c>
    </row>
    <row r="41" spans="2:4" x14ac:dyDescent="0.2">
      <c r="D41" s="5" t="s">
        <v>711</v>
      </c>
    </row>
    <row r="42" spans="2:4" x14ac:dyDescent="0.2">
      <c r="D42" s="5" t="s">
        <v>712</v>
      </c>
    </row>
    <row r="43" spans="2:4" x14ac:dyDescent="0.2">
      <c r="B43" s="5" t="s">
        <v>1039</v>
      </c>
    </row>
    <row r="44" spans="2:4" x14ac:dyDescent="0.2">
      <c r="D44" s="5" t="s">
        <v>709</v>
      </c>
    </row>
    <row r="45" spans="2:4" x14ac:dyDescent="0.2">
      <c r="D45" s="5" t="s">
        <v>704</v>
      </c>
    </row>
    <row r="46" spans="2:4" x14ac:dyDescent="0.2">
      <c r="D46" s="5" t="s">
        <v>710</v>
      </c>
    </row>
    <row r="47" spans="2:4" x14ac:dyDescent="0.2">
      <c r="D47" s="5" t="s">
        <v>711</v>
      </c>
    </row>
    <row r="48" spans="2:4" x14ac:dyDescent="0.2">
      <c r="D48" s="5" t="s">
        <v>712</v>
      </c>
    </row>
    <row r="49" spans="2:4" x14ac:dyDescent="0.2">
      <c r="B49" s="5" t="s">
        <v>1040</v>
      </c>
    </row>
    <row r="50" spans="2:4" x14ac:dyDescent="0.2">
      <c r="D50" s="5" t="s">
        <v>709</v>
      </c>
    </row>
    <row r="51" spans="2:4" x14ac:dyDescent="0.2">
      <c r="D51" s="5" t="s">
        <v>704</v>
      </c>
    </row>
    <row r="52" spans="2:4" x14ac:dyDescent="0.2">
      <c r="D52" s="5" t="s">
        <v>710</v>
      </c>
    </row>
    <row r="53" spans="2:4" x14ac:dyDescent="0.2">
      <c r="D53" s="5" t="s">
        <v>711</v>
      </c>
    </row>
    <row r="54" spans="2:4" x14ac:dyDescent="0.2">
      <c r="D54" s="5" t="s">
        <v>712</v>
      </c>
    </row>
    <row r="55" spans="2:4" x14ac:dyDescent="0.2">
      <c r="B55" s="5" t="s">
        <v>1041</v>
      </c>
    </row>
    <row r="56" spans="2:4" x14ac:dyDescent="0.2">
      <c r="D56" s="5" t="s">
        <v>787</v>
      </c>
    </row>
    <row r="57" spans="2:4" x14ac:dyDescent="0.2">
      <c r="D57" s="5" t="s">
        <v>719</v>
      </c>
    </row>
    <row r="58" spans="2:4" x14ac:dyDescent="0.2">
      <c r="D58" s="5" t="s">
        <v>813</v>
      </c>
    </row>
    <row r="59" spans="2:4" x14ac:dyDescent="0.2">
      <c r="D59" s="5" t="s">
        <v>814</v>
      </c>
    </row>
    <row r="60" spans="2:4" x14ac:dyDescent="0.2">
      <c r="D60" s="5" t="s">
        <v>712</v>
      </c>
    </row>
    <row r="61" spans="2:4" x14ac:dyDescent="0.2">
      <c r="B61" s="5" t="s">
        <v>1042</v>
      </c>
    </row>
    <row r="62" spans="2:4" x14ac:dyDescent="0.2">
      <c r="D62" s="5" t="s">
        <v>709</v>
      </c>
    </row>
    <row r="63" spans="2:4" x14ac:dyDescent="0.2">
      <c r="D63" s="5" t="s">
        <v>704</v>
      </c>
    </row>
    <row r="64" spans="2:4" x14ac:dyDescent="0.2">
      <c r="D64" s="5" t="s">
        <v>710</v>
      </c>
    </row>
    <row r="65" spans="2:8" x14ac:dyDescent="0.2">
      <c r="D65" s="5" t="s">
        <v>711</v>
      </c>
    </row>
    <row r="66" spans="2:8" x14ac:dyDescent="0.2">
      <c r="D66" s="5" t="s">
        <v>712</v>
      </c>
    </row>
    <row r="67" spans="2:8" x14ac:dyDescent="0.2">
      <c r="B67" s="5" t="s">
        <v>1043</v>
      </c>
    </row>
    <row r="68" spans="2:8" x14ac:dyDescent="0.2">
      <c r="D68" s="5" t="s">
        <v>1044</v>
      </c>
    </row>
    <row r="69" spans="2:8" x14ac:dyDescent="0.2">
      <c r="E69" s="5" t="s">
        <v>1045</v>
      </c>
      <c r="F69" s="5">
        <v>1205</v>
      </c>
      <c r="G69" s="5" t="s">
        <v>19</v>
      </c>
      <c r="H69" s="5" t="s">
        <v>1244</v>
      </c>
    </row>
    <row r="70" spans="2:8" x14ac:dyDescent="0.2">
      <c r="E70" s="5" t="s">
        <v>1046</v>
      </c>
      <c r="F70" s="5">
        <v>1269</v>
      </c>
      <c r="G70" s="5" t="s">
        <v>19</v>
      </c>
      <c r="H70" s="5" t="s">
        <v>1244</v>
      </c>
    </row>
    <row r="71" spans="2:8" x14ac:dyDescent="0.2">
      <c r="D71" s="5" t="s">
        <v>1047</v>
      </c>
    </row>
    <row r="72" spans="2:8" x14ac:dyDescent="0.2">
      <c r="E72" s="5" t="s">
        <v>1048</v>
      </c>
      <c r="F72" s="5">
        <v>1445</v>
      </c>
      <c r="G72" s="5" t="s">
        <v>19</v>
      </c>
      <c r="H72" s="5" t="s">
        <v>1244</v>
      </c>
    </row>
    <row r="73" spans="2:8" x14ac:dyDescent="0.2">
      <c r="D73" s="5" t="s">
        <v>1049</v>
      </c>
    </row>
    <row r="74" spans="2:8" x14ac:dyDescent="0.2">
      <c r="D74" s="5" t="s">
        <v>1050</v>
      </c>
    </row>
    <row r="75" spans="2:8" x14ac:dyDescent="0.2">
      <c r="E75" s="5" t="s">
        <v>1051</v>
      </c>
      <c r="F75" s="5">
        <v>1205</v>
      </c>
      <c r="G75" s="5" t="s">
        <v>19</v>
      </c>
      <c r="H75" s="5" t="s">
        <v>1244</v>
      </c>
    </row>
    <row r="76" spans="2:8" x14ac:dyDescent="0.2">
      <c r="E76" s="5" t="s">
        <v>1052</v>
      </c>
      <c r="F76" s="5">
        <v>1269</v>
      </c>
      <c r="G76" s="5" t="s">
        <v>19</v>
      </c>
      <c r="H76" s="5" t="s">
        <v>1244</v>
      </c>
    </row>
    <row r="77" spans="2:8" x14ac:dyDescent="0.2">
      <c r="E77" s="5" t="s">
        <v>1053</v>
      </c>
      <c r="F77" s="5">
        <v>1438</v>
      </c>
      <c r="G77" s="5" t="s">
        <v>19</v>
      </c>
      <c r="H77" s="5" t="s">
        <v>1246</v>
      </c>
    </row>
    <row r="78" spans="2:8" x14ac:dyDescent="0.2">
      <c r="D78" s="5" t="s">
        <v>1035</v>
      </c>
    </row>
    <row r="79" spans="2:8" x14ac:dyDescent="0.2">
      <c r="B79" s="5" t="s">
        <v>1054</v>
      </c>
    </row>
    <row r="80" spans="2:8" x14ac:dyDescent="0.2">
      <c r="D80" s="5" t="s">
        <v>744</v>
      </c>
    </row>
    <row r="81" spans="2:4" x14ac:dyDescent="0.2">
      <c r="D81" s="5" t="s">
        <v>738</v>
      </c>
    </row>
    <row r="82" spans="2:4" x14ac:dyDescent="0.2">
      <c r="D82" s="5" t="s">
        <v>745</v>
      </c>
    </row>
    <row r="83" spans="2:4" x14ac:dyDescent="0.2">
      <c r="D83" s="5" t="s">
        <v>819</v>
      </c>
    </row>
    <row r="84" spans="2:4" x14ac:dyDescent="0.2">
      <c r="D84" s="5" t="s">
        <v>712</v>
      </c>
    </row>
    <row r="85" spans="2:4" x14ac:dyDescent="0.2">
      <c r="B85" s="5" t="s">
        <v>1055</v>
      </c>
    </row>
    <row r="86" spans="2:4" x14ac:dyDescent="0.2">
      <c r="D86" s="5" t="s">
        <v>709</v>
      </c>
    </row>
    <row r="87" spans="2:4" x14ac:dyDescent="0.2">
      <c r="D87" s="5" t="s">
        <v>704</v>
      </c>
    </row>
    <row r="88" spans="2:4" x14ac:dyDescent="0.2">
      <c r="D88" s="5" t="s">
        <v>710</v>
      </c>
    </row>
    <row r="89" spans="2:4" x14ac:dyDescent="0.2">
      <c r="D89" s="5" t="s">
        <v>711</v>
      </c>
    </row>
    <row r="90" spans="2:4" x14ac:dyDescent="0.2">
      <c r="D90" s="5" t="s">
        <v>712</v>
      </c>
    </row>
    <row r="91" spans="2:4" x14ac:dyDescent="0.2">
      <c r="B91" s="5" t="s">
        <v>1056</v>
      </c>
    </row>
    <row r="92" spans="2:4" x14ac:dyDescent="0.2">
      <c r="D92" s="5" t="s">
        <v>787</v>
      </c>
    </row>
    <row r="93" spans="2:4" x14ac:dyDescent="0.2">
      <c r="D93" s="5" t="s">
        <v>719</v>
      </c>
    </row>
    <row r="94" spans="2:4" x14ac:dyDescent="0.2">
      <c r="D94" s="5" t="s">
        <v>813</v>
      </c>
    </row>
    <row r="95" spans="2:4" x14ac:dyDescent="0.2">
      <c r="D95" s="5" t="s">
        <v>814</v>
      </c>
    </row>
    <row r="96" spans="2:4" x14ac:dyDescent="0.2">
      <c r="D96" s="5" t="s">
        <v>712</v>
      </c>
    </row>
  </sheetData>
  <autoFilter ref="A18:H18"/>
  <conditionalFormatting sqref="C17">
    <cfRule type="cellIs" dxfId="37" priority="1" stopIfTrue="1" operator="equal">
      <formula>$B$10</formula>
    </cfRule>
    <cfRule type="cellIs" dxfId="3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17</v>
      </c>
      <c r="C2" s="15">
        <f>IF(ISERROR(VALUE(TRIM(CLEAN(MID(C20,FIND("(",C20)+1,FIND("/",C20,1)-FIND("(",C20)-1))))),0,VALUE(TRIM(CLEAN(MID(C20,FIND("(",C20)+1,FIND("/",C20,1)-FIND("(",C20)-1)))))</f>
        <v>17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3</v>
      </c>
      <c r="C3" s="16">
        <f>IF(ISERROR(VALUE(TRIM(CLEAN(MID(C21,FIND("(",C21)+1,FIND("/",C21,1)-FIND("(",C21)-1))))),0,VALUE(TRIM(CLEAN(MID(C21,FIND("(",C21)+1,FIND("/",C21,1)-FIND("(",C21)-1)))))</f>
        <v>3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42</v>
      </c>
      <c r="C4" s="16">
        <f>IF(ISERROR(VALUE(TRIM(CLEAN(MID(C23,FIND("(",C23)+1,FIND("/",C23,1)-FIND("(",C23)-1))))),0,VALUE(TRIM(CLEAN(MID(C23,FIND("(",C23)+1,FIND("/",C23,1)-FIND("(",C23)-1)))))</f>
        <v>42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18</v>
      </c>
      <c r="C5" s="16">
        <f>IF(ISERROR(VALUE(TRIM(CLEAN(MID(C24,FIND("(",C24)+1,FIND("/",C24,1)-FIND("(",C24)-1))))),0,VALUE(TRIM(CLEAN(MID(C24,FIND("(",C24)+1,FIND("/",C24,1)-FIND("(",C24)-1)))))</f>
        <v>18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80</v>
      </c>
      <c r="C7" s="17">
        <f>SUM(C2:C5)</f>
        <v>80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1058</v>
      </c>
    </row>
    <row r="20" spans="1:8" x14ac:dyDescent="0.2">
      <c r="C20" s="5" t="s">
        <v>1059</v>
      </c>
    </row>
    <row r="21" spans="1:8" x14ac:dyDescent="0.2">
      <c r="C21" s="5" t="s">
        <v>738</v>
      </c>
    </row>
    <row r="22" spans="1:8" x14ac:dyDescent="0.2">
      <c r="C22" s="5" t="s">
        <v>873</v>
      </c>
    </row>
    <row r="23" spans="1:8" x14ac:dyDescent="0.2">
      <c r="C23" s="5" t="s">
        <v>1060</v>
      </c>
    </row>
    <row r="24" spans="1:8" x14ac:dyDescent="0.2">
      <c r="C24" s="5" t="s">
        <v>770</v>
      </c>
    </row>
    <row r="25" spans="1:8" x14ac:dyDescent="0.2">
      <c r="B25" s="5" t="s">
        <v>1061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1062</v>
      </c>
    </row>
    <row r="32" spans="1:8" x14ac:dyDescent="0.2">
      <c r="D32" s="5" t="s">
        <v>1063</v>
      </c>
    </row>
    <row r="33" spans="4:4" x14ac:dyDescent="0.2">
      <c r="D33" s="5" t="s">
        <v>738</v>
      </c>
    </row>
    <row r="34" spans="4:4" x14ac:dyDescent="0.2">
      <c r="D34" s="5" t="s">
        <v>1064</v>
      </c>
    </row>
    <row r="35" spans="4:4" x14ac:dyDescent="0.2">
      <c r="D35" s="5" t="s">
        <v>1060</v>
      </c>
    </row>
    <row r="36" spans="4:4" x14ac:dyDescent="0.2">
      <c r="D36" s="5" t="s">
        <v>770</v>
      </c>
    </row>
  </sheetData>
  <autoFilter ref="A18:H18"/>
  <conditionalFormatting sqref="C17">
    <cfRule type="cellIs" dxfId="35" priority="1" stopIfTrue="1" operator="equal">
      <formula>$B$10</formula>
    </cfRule>
    <cfRule type="cellIs" dxfId="3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24</v>
      </c>
      <c r="C4" s="16">
        <f>IF(ISERROR(VALUE(TRIM(CLEAN(MID(C23,FIND("(",C23)+1,FIND("/",C23,1)-FIND("(",C23)-1))))),0,VALUE(TRIM(CLEAN(MID(C23,FIND("(",C23)+1,FIND("/",C23,1)-FIND("(",C23)-1)))))</f>
        <v>24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12</v>
      </c>
      <c r="C5" s="16">
        <f>IF(ISERROR(VALUE(TRIM(CLEAN(MID(C24,FIND("(",C24)+1,FIND("/",C24,1)-FIND("(",C24)-1))))),0,VALUE(TRIM(CLEAN(MID(C24,FIND("(",C24)+1,FIND("/",C24,1)-FIND("(",C24)-1)))))</f>
        <v>12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38</v>
      </c>
      <c r="C7" s="17">
        <f>SUM(C2:C5)</f>
        <v>38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1066</v>
      </c>
    </row>
    <row r="20" spans="1:8" x14ac:dyDescent="0.2">
      <c r="C20" s="5" t="s">
        <v>787</v>
      </c>
    </row>
    <row r="21" spans="1:8" x14ac:dyDescent="0.2">
      <c r="C21" s="5" t="s">
        <v>704</v>
      </c>
    </row>
    <row r="22" spans="1:8" x14ac:dyDescent="0.2">
      <c r="C22" s="5" t="s">
        <v>788</v>
      </c>
    </row>
    <row r="23" spans="1:8" x14ac:dyDescent="0.2">
      <c r="C23" s="5" t="s">
        <v>874</v>
      </c>
    </row>
    <row r="24" spans="1:8" x14ac:dyDescent="0.2">
      <c r="C24" s="5" t="s">
        <v>803</v>
      </c>
    </row>
    <row r="25" spans="1:8" x14ac:dyDescent="0.2">
      <c r="B25" s="5" t="s">
        <v>1067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1068</v>
      </c>
    </row>
    <row r="32" spans="1:8" x14ac:dyDescent="0.2">
      <c r="D32" s="5" t="s">
        <v>709</v>
      </c>
    </row>
    <row r="33" spans="4:4" x14ac:dyDescent="0.2">
      <c r="D33" s="5" t="s">
        <v>704</v>
      </c>
    </row>
    <row r="34" spans="4:4" x14ac:dyDescent="0.2">
      <c r="D34" s="5" t="s">
        <v>710</v>
      </c>
    </row>
    <row r="35" spans="4:4" x14ac:dyDescent="0.2">
      <c r="D35" s="5" t="s">
        <v>874</v>
      </c>
    </row>
    <row r="36" spans="4:4" x14ac:dyDescent="0.2">
      <c r="D36" s="5" t="s">
        <v>803</v>
      </c>
    </row>
  </sheetData>
  <autoFilter ref="A18:H18"/>
  <conditionalFormatting sqref="C17">
    <cfRule type="cellIs" dxfId="33" priority="1" stopIfTrue="1" operator="equal">
      <formula>$B$10</formula>
    </cfRule>
    <cfRule type="cellIs" dxfId="3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29</v>
      </c>
      <c r="C2" s="15">
        <f>IF(ISERROR(VALUE(TRIM(CLEAN(MID(C20,FIND("(",C20)+1,FIND("/",C20,1)-FIND("(",C20)-1))))),0,VALUE(TRIM(CLEAN(MID(C20,FIND("(",C20)+1,FIND("/",C20,1)-FIND("(",C20)-1)))))</f>
        <v>29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170</v>
      </c>
      <c r="C4" s="16">
        <f>IF(ISERROR(VALUE(TRIM(CLEAN(MID(C23,FIND("(",C23)+1,FIND("/",C23,1)-FIND("(",C23)-1))))),0,VALUE(TRIM(CLEAN(MID(C23,FIND("(",C23)+1,FIND("/",C23,1)-FIND("(",C23)-1)))))</f>
        <v>170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73</v>
      </c>
      <c r="C5" s="16">
        <f>IF(ISERROR(VALUE(TRIM(CLEAN(MID(C24,FIND("(",C24)+1,FIND("/",C24,1)-FIND("(",C24)-1))))),0,VALUE(TRIM(CLEAN(MID(C24,FIND("(",C24)+1,FIND("/",C24,1)-FIND("(",C24)-1)))))</f>
        <v>73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273</v>
      </c>
      <c r="C7" s="17">
        <f>SUM(C2:C5)</f>
        <v>273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1070</v>
      </c>
    </row>
    <row r="20" spans="1:8" x14ac:dyDescent="0.2">
      <c r="C20" s="5" t="s">
        <v>1071</v>
      </c>
    </row>
    <row r="21" spans="1:8" x14ac:dyDescent="0.2">
      <c r="C21" s="5" t="s">
        <v>719</v>
      </c>
    </row>
    <row r="22" spans="1:8" x14ac:dyDescent="0.2">
      <c r="C22" s="5" t="s">
        <v>1072</v>
      </c>
    </row>
    <row r="23" spans="1:8" x14ac:dyDescent="0.2">
      <c r="C23" s="5" t="s">
        <v>1073</v>
      </c>
    </row>
    <row r="24" spans="1:8" x14ac:dyDescent="0.2">
      <c r="C24" s="5" t="s">
        <v>1074</v>
      </c>
    </row>
    <row r="25" spans="1:8" x14ac:dyDescent="0.2">
      <c r="B25" s="5" t="s">
        <v>1075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1076</v>
      </c>
    </row>
    <row r="32" spans="1:8" x14ac:dyDescent="0.2">
      <c r="D32" s="5" t="s">
        <v>1077</v>
      </c>
    </row>
    <row r="33" spans="4:4" x14ac:dyDescent="0.2">
      <c r="D33" s="5" t="s">
        <v>719</v>
      </c>
    </row>
    <row r="34" spans="4:4" x14ac:dyDescent="0.2">
      <c r="D34" s="5" t="s">
        <v>1078</v>
      </c>
    </row>
    <row r="35" spans="4:4" x14ac:dyDescent="0.2">
      <c r="D35" s="5" t="s">
        <v>1073</v>
      </c>
    </row>
    <row r="36" spans="4:4" x14ac:dyDescent="0.2">
      <c r="D36" s="5" t="s">
        <v>1074</v>
      </c>
    </row>
  </sheetData>
  <autoFilter ref="A18:H18"/>
  <conditionalFormatting sqref="C17">
    <cfRule type="cellIs" dxfId="31" priority="1" stopIfTrue="1" operator="equal">
      <formula>$B$10</formula>
    </cfRule>
    <cfRule type="cellIs" dxfId="3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6</v>
      </c>
      <c r="C2" s="15">
        <f>IF(ISERROR(VALUE(TRIM(CLEAN(MID(C20,FIND("(",C20)+1,FIND("/",C20,1)-FIND("(",C20)-1))))),0,VALUE(TRIM(CLEAN(MID(C20,FIND("(",C20)+1,FIND("/",C20,1)-FIND("(",C20)-1)))))</f>
        <v>6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16</v>
      </c>
      <c r="C4" s="16">
        <f>IF(ISERROR(VALUE(TRIM(CLEAN(MID(C23,FIND("(",C23)+1,FIND("/",C23,1)-FIND("(",C23)-1))))),0,VALUE(TRIM(CLEAN(MID(C23,FIND("(",C23)+1,FIND("/",C23,1)-FIND("(",C23)-1)))))</f>
        <v>16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6</v>
      </c>
      <c r="C5" s="16">
        <f>IF(ISERROR(VALUE(TRIM(CLEAN(MID(C24,FIND("(",C24)+1,FIND("/",C24,1)-FIND("(",C24)-1))))),0,VALUE(TRIM(CLEAN(MID(C24,FIND("(",C24)+1,FIND("/",C24,1)-FIND("(",C24)-1)))))</f>
        <v>6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28</v>
      </c>
      <c r="C7" s="17">
        <f>SUM(C2:C5)</f>
        <v>28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1080</v>
      </c>
    </row>
    <row r="20" spans="1:8" x14ac:dyDescent="0.2">
      <c r="C20" s="5" t="s">
        <v>703</v>
      </c>
    </row>
    <row r="21" spans="1:8" x14ac:dyDescent="0.2">
      <c r="C21" s="5" t="s">
        <v>704</v>
      </c>
    </row>
    <row r="22" spans="1:8" x14ac:dyDescent="0.2">
      <c r="C22" s="5" t="s">
        <v>705</v>
      </c>
    </row>
    <row r="23" spans="1:8" x14ac:dyDescent="0.2">
      <c r="C23" s="5" t="s">
        <v>988</v>
      </c>
    </row>
    <row r="24" spans="1:8" x14ac:dyDescent="0.2">
      <c r="C24" s="5" t="s">
        <v>1081</v>
      </c>
    </row>
    <row r="25" spans="1:8" x14ac:dyDescent="0.2">
      <c r="B25" s="5" t="s">
        <v>1082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1083</v>
      </c>
    </row>
    <row r="32" spans="1:8" x14ac:dyDescent="0.2">
      <c r="D32" s="5" t="s">
        <v>714</v>
      </c>
    </row>
    <row r="33" spans="4:4" x14ac:dyDescent="0.2">
      <c r="D33" s="5" t="s">
        <v>704</v>
      </c>
    </row>
    <row r="34" spans="4:4" x14ac:dyDescent="0.2">
      <c r="D34" s="5" t="s">
        <v>715</v>
      </c>
    </row>
    <row r="35" spans="4:4" x14ac:dyDescent="0.2">
      <c r="D35" s="5" t="s">
        <v>988</v>
      </c>
    </row>
    <row r="36" spans="4:4" x14ac:dyDescent="0.2">
      <c r="D36" s="5" t="s">
        <v>1081</v>
      </c>
    </row>
  </sheetData>
  <autoFilter ref="A18:H18"/>
  <conditionalFormatting sqref="C17">
    <cfRule type="cellIs" dxfId="29" priority="1" stopIfTrue="1" operator="equal">
      <formula>$B$10</formula>
    </cfRule>
    <cfRule type="cellIs" dxfId="2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indexed="11"/>
  </sheetPr>
  <dimension ref="A1:H50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119</v>
      </c>
      <c r="C2" s="15">
        <f>IF(ISERROR(VALUE(TRIM(CLEAN(MID(C20,FIND("(",C20)+1,FIND("/",C20,1)-FIND("(",C20)-1))))),0,VALUE(TRIM(CLEAN(MID(C20,FIND("(",C20)+1,FIND("/",C20,1)-FIND("(",C20)-1)))))</f>
        <v>118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4</v>
      </c>
      <c r="C3" s="16">
        <f>IF(ISERROR(VALUE(TRIM(CLEAN(MID(C21,FIND("(",C21)+1,FIND("/",C21,1)-FIND("(",C21)-1))))),0,VALUE(TRIM(CLEAN(MID(C21,FIND("(",C21)+1,FIND("/",C21,1)-FIND("(",C21)-1)))))</f>
        <v>4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165</v>
      </c>
      <c r="C4" s="16">
        <f>IF(ISERROR(VALUE(TRIM(CLEAN(MID(C23,FIND("(",C23)+1,FIND("/",C23,1)-FIND("(",C23)-1))))),0,VALUE(TRIM(CLEAN(MID(C23,FIND("(",C23)+1,FIND("/",C23,1)-FIND("(",C23)-1)))))</f>
        <v>164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24</v>
      </c>
      <c r="C5" s="16">
        <f>IF(ISERROR(VALUE(TRIM(CLEAN(MID(C24,FIND("(",C24)+1,FIND("/",C24,1)-FIND("(",C24)-1))))),0,VALUE(TRIM(CLEAN(MID(C24,FIND("(",C24)+1,FIND("/",C24,1)-FIND("(",C24)-1)))))</f>
        <v>24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312</v>
      </c>
      <c r="C7" s="17">
        <f>SUM(C2:C5)</f>
        <v>310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2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2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2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1085</v>
      </c>
    </row>
    <row r="20" spans="1:8" x14ac:dyDescent="0.2">
      <c r="C20" s="5" t="s">
        <v>1086</v>
      </c>
    </row>
    <row r="21" spans="1:8" x14ac:dyDescent="0.2">
      <c r="C21" s="5" t="s">
        <v>1087</v>
      </c>
    </row>
    <row r="22" spans="1:8" x14ac:dyDescent="0.2">
      <c r="C22" s="5" t="s">
        <v>1088</v>
      </c>
    </row>
    <row r="23" spans="1:8" x14ac:dyDescent="0.2">
      <c r="C23" s="5" t="s">
        <v>1089</v>
      </c>
    </row>
    <row r="24" spans="1:8" x14ac:dyDescent="0.2">
      <c r="C24" s="5" t="s">
        <v>1090</v>
      </c>
    </row>
    <row r="25" spans="1:8" x14ac:dyDescent="0.2">
      <c r="B25" s="5" t="s">
        <v>1091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1092</v>
      </c>
    </row>
    <row r="32" spans="1:8" x14ac:dyDescent="0.2">
      <c r="D32" s="5" t="s">
        <v>709</v>
      </c>
    </row>
    <row r="33" spans="2:8" x14ac:dyDescent="0.2">
      <c r="D33" s="5" t="s">
        <v>704</v>
      </c>
    </row>
    <row r="34" spans="2:8" x14ac:dyDescent="0.2">
      <c r="D34" s="5" t="s">
        <v>710</v>
      </c>
    </row>
    <row r="35" spans="2:8" x14ac:dyDescent="0.2">
      <c r="D35" s="5" t="s">
        <v>711</v>
      </c>
    </row>
    <row r="36" spans="2:8" x14ac:dyDescent="0.2">
      <c r="D36" s="5" t="s">
        <v>712</v>
      </c>
    </row>
    <row r="37" spans="2:8" x14ac:dyDescent="0.2">
      <c r="B37" s="5" t="s">
        <v>1093</v>
      </c>
    </row>
    <row r="38" spans="2:8" x14ac:dyDescent="0.2">
      <c r="D38" s="5" t="s">
        <v>1094</v>
      </c>
    </row>
    <row r="39" spans="2:8" x14ac:dyDescent="0.2">
      <c r="E39" s="5" t="s">
        <v>1095</v>
      </c>
      <c r="F39" s="5">
        <v>634</v>
      </c>
      <c r="G39" s="5" t="s">
        <v>19</v>
      </c>
      <c r="H39" s="5" t="s">
        <v>1244</v>
      </c>
    </row>
    <row r="40" spans="2:8" x14ac:dyDescent="0.2">
      <c r="D40" s="5" t="s">
        <v>1087</v>
      </c>
    </row>
    <row r="41" spans="2:8" x14ac:dyDescent="0.2">
      <c r="D41" s="5" t="s">
        <v>1096</v>
      </c>
    </row>
    <row r="42" spans="2:8" x14ac:dyDescent="0.2">
      <c r="D42" s="5" t="s">
        <v>1089</v>
      </c>
    </row>
    <row r="43" spans="2:8" x14ac:dyDescent="0.2">
      <c r="E43" s="5" t="s">
        <v>1097</v>
      </c>
      <c r="F43" s="5">
        <v>634</v>
      </c>
      <c r="G43" s="5" t="s">
        <v>19</v>
      </c>
      <c r="H43" s="5" t="s">
        <v>1244</v>
      </c>
    </row>
    <row r="44" spans="2:8" x14ac:dyDescent="0.2">
      <c r="D44" s="5" t="s">
        <v>1090</v>
      </c>
    </row>
    <row r="45" spans="2:8" x14ac:dyDescent="0.2">
      <c r="B45" s="5" t="s">
        <v>1098</v>
      </c>
    </row>
    <row r="46" spans="2:8" x14ac:dyDescent="0.2">
      <c r="D46" s="5" t="s">
        <v>709</v>
      </c>
    </row>
    <row r="47" spans="2:8" x14ac:dyDescent="0.2">
      <c r="D47" s="5" t="s">
        <v>704</v>
      </c>
    </row>
    <row r="48" spans="2:8" x14ac:dyDescent="0.2">
      <c r="D48" s="5" t="s">
        <v>710</v>
      </c>
    </row>
    <row r="49" spans="4:4" x14ac:dyDescent="0.2">
      <c r="D49" s="5" t="s">
        <v>711</v>
      </c>
    </row>
    <row r="50" spans="4:4" x14ac:dyDescent="0.2">
      <c r="D50" s="5" t="s">
        <v>712</v>
      </c>
    </row>
  </sheetData>
  <autoFilter ref="A18:H18"/>
  <conditionalFormatting sqref="C17">
    <cfRule type="cellIs" dxfId="27" priority="1" stopIfTrue="1" operator="equal">
      <formula>$B$10</formula>
    </cfRule>
    <cfRule type="cellIs" dxfId="2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22</v>
      </c>
      <c r="C2" s="15">
        <f>IF(ISERROR(VALUE(TRIM(CLEAN(MID(C20,FIND("(",C20)+1,FIND("/",C20,1)-FIND("(",C20)-1))))),0,VALUE(TRIM(CLEAN(MID(C20,FIND("(",C20)+1,FIND("/",C20,1)-FIND("(",C20)-1)))))</f>
        <v>22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26</v>
      </c>
      <c r="C4" s="16">
        <f>IF(ISERROR(VALUE(TRIM(CLEAN(MID(C23,FIND("(",C23)+1,FIND("/",C23,1)-FIND("(",C23)-1))))),0,VALUE(TRIM(CLEAN(MID(C23,FIND("(",C23)+1,FIND("/",C23,1)-FIND("(",C23)-1)))))</f>
        <v>26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4</v>
      </c>
      <c r="C5" s="16">
        <f>IF(ISERROR(VALUE(TRIM(CLEAN(MID(C24,FIND("(",C24)+1,FIND("/",C24,1)-FIND("(",C24)-1))))),0,VALUE(TRIM(CLEAN(MID(C24,FIND("(",C24)+1,FIND("/",C24,1)-FIND("(",C24)-1)))))</f>
        <v>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54</v>
      </c>
      <c r="C7" s="17">
        <f>SUM(C2:C5)</f>
        <v>54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1100</v>
      </c>
    </row>
    <row r="20" spans="1:8" x14ac:dyDescent="0.2">
      <c r="C20" s="5" t="s">
        <v>1101</v>
      </c>
    </row>
    <row r="21" spans="1:8" x14ac:dyDescent="0.2">
      <c r="C21" s="5" t="s">
        <v>795</v>
      </c>
    </row>
    <row r="22" spans="1:8" x14ac:dyDescent="0.2">
      <c r="C22" s="5" t="s">
        <v>1102</v>
      </c>
    </row>
    <row r="23" spans="1:8" x14ac:dyDescent="0.2">
      <c r="C23" s="5" t="s">
        <v>986</v>
      </c>
    </row>
    <row r="24" spans="1:8" x14ac:dyDescent="0.2">
      <c r="C24" s="5" t="s">
        <v>741</v>
      </c>
    </row>
    <row r="25" spans="1:8" x14ac:dyDescent="0.2">
      <c r="B25" s="5" t="s">
        <v>1103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1104</v>
      </c>
    </row>
    <row r="32" spans="1:8" x14ac:dyDescent="0.2">
      <c r="D32" s="5" t="s">
        <v>1105</v>
      </c>
    </row>
    <row r="33" spans="4:4" x14ac:dyDescent="0.2">
      <c r="D33" s="5" t="s">
        <v>795</v>
      </c>
    </row>
    <row r="34" spans="4:4" x14ac:dyDescent="0.2">
      <c r="D34" s="5" t="s">
        <v>1106</v>
      </c>
    </row>
    <row r="35" spans="4:4" x14ac:dyDescent="0.2">
      <c r="D35" s="5" t="s">
        <v>986</v>
      </c>
    </row>
    <row r="36" spans="4:4" x14ac:dyDescent="0.2">
      <c r="D36" s="5" t="s">
        <v>741</v>
      </c>
    </row>
  </sheetData>
  <autoFilter ref="A18:H18"/>
  <conditionalFormatting sqref="C17">
    <cfRule type="cellIs" dxfId="25" priority="1" stopIfTrue="1" operator="equal">
      <formula>$B$10</formula>
    </cfRule>
    <cfRule type="cellIs" dxfId="2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</v>
      </c>
      <c r="C2" s="15">
        <f>IF(ISERROR(VALUE(TRIM(CLEAN(MID(C20,FIND("(",C20)+1,FIND("/",C20,1)-FIND("(",C20)-1))))),0,VALUE(TRIM(CLEAN(MID(C20,FIND("(",C20)+1,FIND("/",C20,1)-FIND("(",C20)-1)))))</f>
        <v>1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8</v>
      </c>
      <c r="C4" s="16">
        <f>IF(ISERROR(VALUE(TRIM(CLEAN(MID(C23,FIND("(",C23)+1,FIND("/",C23,1)-FIND("(",C23)-1))))),0,VALUE(TRIM(CLEAN(MID(C23,FIND("(",C23)+1,FIND("/",C23,1)-FIND("(",C23)-1)))))</f>
        <v>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4</v>
      </c>
      <c r="C5" s="16">
        <f>IF(ISERROR(VALUE(TRIM(CLEAN(MID(C24,FIND("(",C24)+1,FIND("/",C24,1)-FIND("(",C24)-1))))),0,VALUE(TRIM(CLEAN(MID(C24,FIND("(",C24)+1,FIND("/",C24,1)-FIND("(",C24)-1)))))</f>
        <v>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13</v>
      </c>
      <c r="C7" s="17">
        <f>SUM(C2:C5)</f>
        <v>13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1108</v>
      </c>
    </row>
    <row r="20" spans="1:8" x14ac:dyDescent="0.2">
      <c r="C20" s="5" t="s">
        <v>709</v>
      </c>
    </row>
    <row r="21" spans="1:8" x14ac:dyDescent="0.2">
      <c r="C21" s="5" t="s">
        <v>704</v>
      </c>
    </row>
    <row r="22" spans="1:8" x14ac:dyDescent="0.2">
      <c r="C22" s="5" t="s">
        <v>710</v>
      </c>
    </row>
    <row r="23" spans="1:8" x14ac:dyDescent="0.2">
      <c r="C23" s="5" t="s">
        <v>762</v>
      </c>
    </row>
    <row r="24" spans="1:8" x14ac:dyDescent="0.2">
      <c r="C24" s="5" t="s">
        <v>741</v>
      </c>
    </row>
    <row r="25" spans="1:8" x14ac:dyDescent="0.2">
      <c r="B25" s="5" t="s">
        <v>1109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762</v>
      </c>
    </row>
    <row r="30" spans="1:8" x14ac:dyDescent="0.2">
      <c r="D30" s="5" t="s">
        <v>741</v>
      </c>
    </row>
  </sheetData>
  <autoFilter ref="A18:H18"/>
  <conditionalFormatting sqref="C17">
    <cfRule type="cellIs" dxfId="23" priority="1" stopIfTrue="1" operator="equal">
      <formula>$B$10</formula>
    </cfRule>
    <cfRule type="cellIs" dxfId="2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</v>
      </c>
      <c r="C7" s="17">
        <f>SUM(C2:C5)</f>
        <v>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1111</v>
      </c>
    </row>
    <row r="20" spans="1:8" x14ac:dyDescent="0.2">
      <c r="C20" s="5" t="s">
        <v>787</v>
      </c>
    </row>
    <row r="21" spans="1:8" x14ac:dyDescent="0.2">
      <c r="C21" s="5" t="s">
        <v>704</v>
      </c>
    </row>
    <row r="22" spans="1:8" x14ac:dyDescent="0.2">
      <c r="C22" s="5" t="s">
        <v>788</v>
      </c>
    </row>
    <row r="23" spans="1:8" x14ac:dyDescent="0.2">
      <c r="C23" s="5" t="s">
        <v>711</v>
      </c>
    </row>
    <row r="24" spans="1:8" x14ac:dyDescent="0.2">
      <c r="C24" s="5" t="s">
        <v>712</v>
      </c>
    </row>
    <row r="25" spans="1:8" x14ac:dyDescent="0.2">
      <c r="B25" s="5" t="s">
        <v>1112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1113</v>
      </c>
    </row>
    <row r="32" spans="1:8" x14ac:dyDescent="0.2">
      <c r="D32" s="5" t="s">
        <v>709</v>
      </c>
    </row>
    <row r="33" spans="4:4" x14ac:dyDescent="0.2">
      <c r="D33" s="5" t="s">
        <v>704</v>
      </c>
    </row>
    <row r="34" spans="4:4" x14ac:dyDescent="0.2">
      <c r="D34" s="5" t="s">
        <v>710</v>
      </c>
    </row>
    <row r="35" spans="4:4" x14ac:dyDescent="0.2">
      <c r="D35" s="5" t="s">
        <v>711</v>
      </c>
    </row>
    <row r="36" spans="4:4" x14ac:dyDescent="0.2">
      <c r="D36" s="5" t="s">
        <v>712</v>
      </c>
    </row>
  </sheetData>
  <autoFilter ref="A18:H18"/>
  <conditionalFormatting sqref="C17">
    <cfRule type="cellIs" dxfId="21" priority="1" stopIfTrue="1" operator="equal">
      <formula>$B$10</formula>
    </cfRule>
    <cfRule type="cellIs" dxfId="2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</v>
      </c>
      <c r="C7" s="17">
        <f>SUM(C2:C5)</f>
        <v>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1115</v>
      </c>
    </row>
    <row r="20" spans="1:8" x14ac:dyDescent="0.2">
      <c r="C20" s="5" t="s">
        <v>787</v>
      </c>
    </row>
    <row r="21" spans="1:8" x14ac:dyDescent="0.2">
      <c r="C21" s="5" t="s">
        <v>704</v>
      </c>
    </row>
    <row r="22" spans="1:8" x14ac:dyDescent="0.2">
      <c r="C22" s="5" t="s">
        <v>788</v>
      </c>
    </row>
    <row r="23" spans="1:8" x14ac:dyDescent="0.2">
      <c r="C23" s="5" t="s">
        <v>711</v>
      </c>
    </row>
    <row r="24" spans="1:8" x14ac:dyDescent="0.2">
      <c r="C24" s="5" t="s">
        <v>712</v>
      </c>
    </row>
    <row r="25" spans="1:8" x14ac:dyDescent="0.2">
      <c r="B25" s="5" t="s">
        <v>1116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1117</v>
      </c>
    </row>
    <row r="32" spans="1:8" x14ac:dyDescent="0.2">
      <c r="D32" s="5" t="s">
        <v>709</v>
      </c>
    </row>
    <row r="33" spans="4:4" x14ac:dyDescent="0.2">
      <c r="D33" s="5" t="s">
        <v>704</v>
      </c>
    </row>
    <row r="34" spans="4:4" x14ac:dyDescent="0.2">
      <c r="D34" s="5" t="s">
        <v>710</v>
      </c>
    </row>
    <row r="35" spans="4:4" x14ac:dyDescent="0.2">
      <c r="D35" s="5" t="s">
        <v>711</v>
      </c>
    </row>
    <row r="36" spans="4:4" x14ac:dyDescent="0.2">
      <c r="D36" s="5" t="s">
        <v>712</v>
      </c>
    </row>
  </sheetData>
  <autoFilter ref="A18:H18"/>
  <conditionalFormatting sqref="C17">
    <cfRule type="cellIs" dxfId="19" priority="1" stopIfTrue="1" operator="equal">
      <formula>$B$10</formula>
    </cfRule>
    <cfRule type="cellIs" dxfId="1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4</v>
      </c>
      <c r="C2" s="15">
        <f>IF(ISERROR(VALUE(TRIM(CLEAN(MID(C20,FIND("(",C20)+1,FIND("/",C20,1)-FIND("(",C20)-1))))),0,VALUE(TRIM(CLEAN(MID(C20,FIND("(",C20)+1,FIND("/",C20,1)-FIND("(",C20)-1)))))</f>
        <v>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74</v>
      </c>
      <c r="C4" s="16">
        <f>IF(ISERROR(VALUE(TRIM(CLEAN(MID(C23,FIND("(",C23)+1,FIND("/",C23,1)-FIND("(",C23)-1))))),0,VALUE(TRIM(CLEAN(MID(C23,FIND("(",C23)+1,FIND("/",C23,1)-FIND("(",C23)-1)))))</f>
        <v>74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37</v>
      </c>
      <c r="C5" s="16">
        <f>IF(ISERROR(VALUE(TRIM(CLEAN(MID(C24,FIND("(",C24)+1,FIND("/",C24,1)-FIND("(",C24)-1))))),0,VALUE(TRIM(CLEAN(MID(C24,FIND("(",C24)+1,FIND("/",C24,1)-FIND("(",C24)-1)))))</f>
        <v>37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115</v>
      </c>
      <c r="C7" s="17">
        <f>SUM(C2:C5)</f>
        <v>115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1119</v>
      </c>
    </row>
    <row r="20" spans="1:8" x14ac:dyDescent="0.2">
      <c r="C20" s="5" t="s">
        <v>744</v>
      </c>
    </row>
    <row r="21" spans="1:8" x14ac:dyDescent="0.2">
      <c r="C21" s="5" t="s">
        <v>704</v>
      </c>
    </row>
    <row r="22" spans="1:8" x14ac:dyDescent="0.2">
      <c r="C22" s="5" t="s">
        <v>856</v>
      </c>
    </row>
    <row r="23" spans="1:8" x14ac:dyDescent="0.2">
      <c r="C23" s="5" t="s">
        <v>1018</v>
      </c>
    </row>
    <row r="24" spans="1:8" x14ac:dyDescent="0.2">
      <c r="C24" s="5" t="s">
        <v>1120</v>
      </c>
    </row>
    <row r="25" spans="1:8" x14ac:dyDescent="0.2">
      <c r="B25" s="5" t="s">
        <v>1121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1122</v>
      </c>
    </row>
    <row r="32" spans="1:8" x14ac:dyDescent="0.2">
      <c r="D32" s="5" t="s">
        <v>709</v>
      </c>
    </row>
    <row r="33" spans="2:4" x14ac:dyDescent="0.2">
      <c r="D33" s="5" t="s">
        <v>704</v>
      </c>
    </row>
    <row r="34" spans="2:4" x14ac:dyDescent="0.2">
      <c r="D34" s="5" t="s">
        <v>710</v>
      </c>
    </row>
    <row r="35" spans="2:4" x14ac:dyDescent="0.2">
      <c r="D35" s="5" t="s">
        <v>711</v>
      </c>
    </row>
    <row r="36" spans="2:4" x14ac:dyDescent="0.2">
      <c r="D36" s="5" t="s">
        <v>712</v>
      </c>
    </row>
    <row r="37" spans="2:4" x14ac:dyDescent="0.2">
      <c r="B37" s="5" t="s">
        <v>1123</v>
      </c>
    </row>
    <row r="38" spans="2:4" x14ac:dyDescent="0.2">
      <c r="D38" s="5" t="s">
        <v>709</v>
      </c>
    </row>
    <row r="39" spans="2:4" x14ac:dyDescent="0.2">
      <c r="D39" s="5" t="s">
        <v>704</v>
      </c>
    </row>
    <row r="40" spans="2:4" x14ac:dyDescent="0.2">
      <c r="D40" s="5" t="s">
        <v>710</v>
      </c>
    </row>
    <row r="41" spans="2:4" x14ac:dyDescent="0.2">
      <c r="D41" s="5" t="s">
        <v>1018</v>
      </c>
    </row>
    <row r="42" spans="2:4" x14ac:dyDescent="0.2">
      <c r="D42" s="5" t="s">
        <v>1120</v>
      </c>
    </row>
    <row r="43" spans="2:4" x14ac:dyDescent="0.2">
      <c r="B43" s="5" t="s">
        <v>1124</v>
      </c>
    </row>
    <row r="44" spans="2:4" x14ac:dyDescent="0.2">
      <c r="D44" s="5" t="s">
        <v>709</v>
      </c>
    </row>
    <row r="45" spans="2:4" x14ac:dyDescent="0.2">
      <c r="D45" s="5" t="s">
        <v>704</v>
      </c>
    </row>
    <row r="46" spans="2:4" x14ac:dyDescent="0.2">
      <c r="D46" s="5" t="s">
        <v>710</v>
      </c>
    </row>
    <row r="47" spans="2:4" x14ac:dyDescent="0.2">
      <c r="D47" s="5" t="s">
        <v>711</v>
      </c>
    </row>
    <row r="48" spans="2:4" x14ac:dyDescent="0.2">
      <c r="D48" s="5" t="s">
        <v>712</v>
      </c>
    </row>
  </sheetData>
  <autoFilter ref="A18:H18"/>
  <conditionalFormatting sqref="C17">
    <cfRule type="cellIs" dxfId="17" priority="1" stopIfTrue="1" operator="equal">
      <formula>$B$10</formula>
    </cfRule>
    <cfRule type="cellIs" dxfId="1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6</v>
      </c>
      <c r="C4" s="16">
        <f>IF(ISERROR(VALUE(TRIM(CLEAN(MID(C23,FIND("(",C23)+1,FIND("/",C23,1)-FIND("(",C23)-1))))),0,VALUE(TRIM(CLEAN(MID(C23,FIND("(",C23)+1,FIND("/",C23,1)-FIND("(",C23)-1)))))</f>
        <v>6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</v>
      </c>
      <c r="C5" s="16">
        <f>IF(ISERROR(VALUE(TRIM(CLEAN(MID(C24,FIND("(",C24)+1,FIND("/",C24,1)-FIND("(",C24)-1))))),0,VALUE(TRIM(CLEAN(MID(C24,FIND("(",C24)+1,FIND("/",C24,1)-FIND("(",C24)-1)))))</f>
        <v>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11</v>
      </c>
      <c r="C7" s="17">
        <f>SUM(C2:C5)</f>
        <v>11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1126</v>
      </c>
    </row>
    <row r="20" spans="1:8" x14ac:dyDescent="0.2">
      <c r="C20" s="5" t="s">
        <v>787</v>
      </c>
    </row>
    <row r="21" spans="1:8" x14ac:dyDescent="0.2">
      <c r="C21" s="5" t="s">
        <v>704</v>
      </c>
    </row>
    <row r="22" spans="1:8" x14ac:dyDescent="0.2">
      <c r="C22" s="5" t="s">
        <v>788</v>
      </c>
    </row>
    <row r="23" spans="1:8" x14ac:dyDescent="0.2">
      <c r="C23" s="5" t="s">
        <v>819</v>
      </c>
    </row>
    <row r="24" spans="1:8" x14ac:dyDescent="0.2">
      <c r="C24" s="5" t="s">
        <v>913</v>
      </c>
    </row>
    <row r="25" spans="1:8" x14ac:dyDescent="0.2">
      <c r="B25" s="5" t="s">
        <v>1127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1128</v>
      </c>
    </row>
    <row r="32" spans="1:8" x14ac:dyDescent="0.2">
      <c r="D32" s="5" t="s">
        <v>709</v>
      </c>
    </row>
    <row r="33" spans="4:4" x14ac:dyDescent="0.2">
      <c r="D33" s="5" t="s">
        <v>704</v>
      </c>
    </row>
    <row r="34" spans="4:4" x14ac:dyDescent="0.2">
      <c r="D34" s="5" t="s">
        <v>710</v>
      </c>
    </row>
    <row r="35" spans="4:4" x14ac:dyDescent="0.2">
      <c r="D35" s="5" t="s">
        <v>819</v>
      </c>
    </row>
    <row r="36" spans="4:4" x14ac:dyDescent="0.2">
      <c r="D36" s="5" t="s">
        <v>913</v>
      </c>
    </row>
  </sheetData>
  <autoFilter ref="A18:H18"/>
  <conditionalFormatting sqref="C17">
    <cfRule type="cellIs" dxfId="15" priority="1" stopIfTrue="1" operator="equal">
      <formula>$B$10</formula>
    </cfRule>
    <cfRule type="cellIs" dxfId="1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</v>
      </c>
      <c r="C7" s="17">
        <f>SUM(C2:C5)</f>
        <v>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1130</v>
      </c>
    </row>
    <row r="20" spans="1:8" x14ac:dyDescent="0.2">
      <c r="C20" s="5" t="s">
        <v>787</v>
      </c>
    </row>
    <row r="21" spans="1:8" x14ac:dyDescent="0.2">
      <c r="C21" s="5" t="s">
        <v>704</v>
      </c>
    </row>
    <row r="22" spans="1:8" x14ac:dyDescent="0.2">
      <c r="C22" s="5" t="s">
        <v>788</v>
      </c>
    </row>
    <row r="23" spans="1:8" x14ac:dyDescent="0.2">
      <c r="C23" s="5" t="s">
        <v>711</v>
      </c>
    </row>
    <row r="24" spans="1:8" x14ac:dyDescent="0.2">
      <c r="C24" s="5" t="s">
        <v>712</v>
      </c>
    </row>
    <row r="25" spans="1:8" x14ac:dyDescent="0.2">
      <c r="B25" s="5" t="s">
        <v>1131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1132</v>
      </c>
    </row>
    <row r="32" spans="1:8" x14ac:dyDescent="0.2">
      <c r="D32" s="5" t="s">
        <v>709</v>
      </c>
    </row>
    <row r="33" spans="4:4" x14ac:dyDescent="0.2">
      <c r="D33" s="5" t="s">
        <v>704</v>
      </c>
    </row>
    <row r="34" spans="4:4" x14ac:dyDescent="0.2">
      <c r="D34" s="5" t="s">
        <v>710</v>
      </c>
    </row>
    <row r="35" spans="4:4" x14ac:dyDescent="0.2">
      <c r="D35" s="5" t="s">
        <v>711</v>
      </c>
    </row>
    <row r="36" spans="4:4" x14ac:dyDescent="0.2">
      <c r="D36" s="5" t="s">
        <v>712</v>
      </c>
    </row>
  </sheetData>
  <autoFilter ref="A18:H18"/>
  <conditionalFormatting sqref="C17">
    <cfRule type="cellIs" dxfId="13" priority="1" stopIfTrue="1" operator="equal">
      <formula>$B$10</formula>
    </cfRule>
    <cfRule type="cellIs" dxfId="1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78</v>
      </c>
      <c r="C2" s="15">
        <f>IF(ISERROR(VALUE(TRIM(CLEAN(MID(C20,FIND("(",C20)+1,FIND("/",C20,1)-FIND("(",C20)-1))))),0,VALUE(TRIM(CLEAN(MID(C20,FIND("(",C20)+1,FIND("/",C20,1)-FIND("(",C20)-1)))))</f>
        <v>78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109</v>
      </c>
      <c r="C4" s="16">
        <f>IF(ISERROR(VALUE(TRIM(CLEAN(MID(C23,FIND("(",C23)+1,FIND("/",C23,1)-FIND("(",C23)-1))))),0,VALUE(TRIM(CLEAN(MID(C23,FIND("(",C23)+1,FIND("/",C23,1)-FIND("(",C23)-1)))))</f>
        <v>109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19</v>
      </c>
      <c r="C5" s="16">
        <f>IF(ISERROR(VALUE(TRIM(CLEAN(MID(C24,FIND("(",C24)+1,FIND("/",C24,1)-FIND("(",C24)-1))))),0,VALUE(TRIM(CLEAN(MID(C24,FIND("(",C24)+1,FIND("/",C24,1)-FIND("(",C24)-1)))))</f>
        <v>19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207</v>
      </c>
      <c r="C7" s="17">
        <f>SUM(C2:C5)</f>
        <v>207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1134</v>
      </c>
    </row>
    <row r="20" spans="1:8" x14ac:dyDescent="0.2">
      <c r="C20" s="5" t="s">
        <v>1135</v>
      </c>
    </row>
    <row r="21" spans="1:8" x14ac:dyDescent="0.2">
      <c r="C21" s="5" t="s">
        <v>719</v>
      </c>
    </row>
    <row r="22" spans="1:8" x14ac:dyDescent="0.2">
      <c r="C22" s="5" t="s">
        <v>1136</v>
      </c>
    </row>
    <row r="23" spans="1:8" x14ac:dyDescent="0.2">
      <c r="C23" s="5" t="s">
        <v>1137</v>
      </c>
    </row>
    <row r="24" spans="1:8" x14ac:dyDescent="0.2">
      <c r="C24" s="5" t="s">
        <v>1138</v>
      </c>
    </row>
    <row r="25" spans="1:8" x14ac:dyDescent="0.2">
      <c r="B25" s="5" t="s">
        <v>1139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1140</v>
      </c>
    </row>
    <row r="32" spans="1:8" x14ac:dyDescent="0.2">
      <c r="D32" s="5" t="s">
        <v>709</v>
      </c>
    </row>
    <row r="33" spans="2:4" x14ac:dyDescent="0.2">
      <c r="D33" s="5" t="s">
        <v>704</v>
      </c>
    </row>
    <row r="34" spans="2:4" x14ac:dyDescent="0.2">
      <c r="D34" s="5" t="s">
        <v>710</v>
      </c>
    </row>
    <row r="35" spans="2:4" x14ac:dyDescent="0.2">
      <c r="D35" s="5" t="s">
        <v>711</v>
      </c>
    </row>
    <row r="36" spans="2:4" x14ac:dyDescent="0.2">
      <c r="D36" s="5" t="s">
        <v>712</v>
      </c>
    </row>
    <row r="37" spans="2:4" x14ac:dyDescent="0.2">
      <c r="B37" s="5" t="s">
        <v>1141</v>
      </c>
    </row>
    <row r="38" spans="2:4" x14ac:dyDescent="0.2">
      <c r="D38" s="5" t="s">
        <v>1142</v>
      </c>
    </row>
    <row r="39" spans="2:4" x14ac:dyDescent="0.2">
      <c r="D39" s="5" t="s">
        <v>719</v>
      </c>
    </row>
    <row r="40" spans="2:4" x14ac:dyDescent="0.2">
      <c r="D40" s="5" t="s">
        <v>1143</v>
      </c>
    </row>
    <row r="41" spans="2:4" x14ac:dyDescent="0.2">
      <c r="D41" s="5" t="s">
        <v>1137</v>
      </c>
    </row>
    <row r="42" spans="2:4" x14ac:dyDescent="0.2">
      <c r="D42" s="5" t="s">
        <v>1138</v>
      </c>
    </row>
    <row r="43" spans="2:4" x14ac:dyDescent="0.2">
      <c r="B43" s="5" t="s">
        <v>1144</v>
      </c>
    </row>
    <row r="44" spans="2:4" x14ac:dyDescent="0.2">
      <c r="D44" s="5" t="s">
        <v>709</v>
      </c>
    </row>
    <row r="45" spans="2:4" x14ac:dyDescent="0.2">
      <c r="D45" s="5" t="s">
        <v>704</v>
      </c>
    </row>
    <row r="46" spans="2:4" x14ac:dyDescent="0.2">
      <c r="D46" s="5" t="s">
        <v>710</v>
      </c>
    </row>
    <row r="47" spans="2:4" x14ac:dyDescent="0.2">
      <c r="D47" s="5" t="s">
        <v>711</v>
      </c>
    </row>
    <row r="48" spans="2:4" x14ac:dyDescent="0.2">
      <c r="D48" s="5" t="s">
        <v>712</v>
      </c>
    </row>
  </sheetData>
  <autoFilter ref="A18:H18"/>
  <conditionalFormatting sqref="C17">
    <cfRule type="cellIs" dxfId="11" priority="1" stopIfTrue="1" operator="equal">
      <formula>$B$10</formula>
    </cfRule>
    <cfRule type="cellIs" dxfId="1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indexed="11"/>
  </sheetPr>
  <dimension ref="A1:H60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52</v>
      </c>
      <c r="C2" s="15">
        <f>IF(ISERROR(VALUE(TRIM(CLEAN(MID(C20,FIND("(",C20)+1,FIND("/",C20,1)-FIND("(",C20)-1))))),0,VALUE(TRIM(CLEAN(MID(C20,FIND("(",C20)+1,FIND("/",C20,1)-FIND("(",C20)-1)))))</f>
        <v>46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6</v>
      </c>
      <c r="C3" s="16">
        <f>IF(ISERROR(VALUE(TRIM(CLEAN(MID(C21,FIND("(",C21)+1,FIND("/",C21,1)-FIND("(",C21)-1))))),0,VALUE(TRIM(CLEAN(MID(C21,FIND("(",C21)+1,FIND("/",C21,1)-FIND("(",C21)-1)))))</f>
        <v>6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132</v>
      </c>
      <c r="C4" s="16">
        <f>IF(ISERROR(VALUE(TRIM(CLEAN(MID(C23,FIND("(",C23)+1,FIND("/",C23,1)-FIND("(",C23)-1))))),0,VALUE(TRIM(CLEAN(MID(C23,FIND("(",C23)+1,FIND("/",C23,1)-FIND("(",C23)-1)))))</f>
        <v>126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39</v>
      </c>
      <c r="C5" s="16">
        <f>IF(ISERROR(VALUE(TRIM(CLEAN(MID(C24,FIND("(",C24)+1,FIND("/",C24,1)-FIND("(",C24)-1))))),0,VALUE(TRIM(CLEAN(MID(C24,FIND("(",C24)+1,FIND("/",C24,1)-FIND("(",C24)-1)))))</f>
        <v>39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229</v>
      </c>
      <c r="C7" s="17">
        <f>SUM(C2:C5)</f>
        <v>217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12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12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12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1146</v>
      </c>
    </row>
    <row r="20" spans="1:8" x14ac:dyDescent="0.2">
      <c r="C20" s="5" t="s">
        <v>1147</v>
      </c>
    </row>
    <row r="21" spans="1:8" x14ac:dyDescent="0.2">
      <c r="C21" s="5" t="s">
        <v>1000</v>
      </c>
    </row>
    <row r="22" spans="1:8" x14ac:dyDescent="0.2">
      <c r="C22" s="5" t="s">
        <v>1148</v>
      </c>
    </row>
    <row r="23" spans="1:8" x14ac:dyDescent="0.2">
      <c r="C23" s="5" t="s">
        <v>1149</v>
      </c>
    </row>
    <row r="24" spans="1:8" x14ac:dyDescent="0.2">
      <c r="C24" s="5" t="s">
        <v>1150</v>
      </c>
    </row>
    <row r="25" spans="1:8" x14ac:dyDescent="0.2">
      <c r="B25" s="5" t="s">
        <v>1151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1152</v>
      </c>
    </row>
    <row r="32" spans="1:8" x14ac:dyDescent="0.2">
      <c r="D32" s="5" t="s">
        <v>709</v>
      </c>
    </row>
    <row r="33" spans="2:8" x14ac:dyDescent="0.2">
      <c r="D33" s="5" t="s">
        <v>704</v>
      </c>
    </row>
    <row r="34" spans="2:8" x14ac:dyDescent="0.2">
      <c r="D34" s="5" t="s">
        <v>710</v>
      </c>
    </row>
    <row r="35" spans="2:8" x14ac:dyDescent="0.2">
      <c r="D35" s="5" t="s">
        <v>711</v>
      </c>
    </row>
    <row r="36" spans="2:8" x14ac:dyDescent="0.2">
      <c r="D36" s="5" t="s">
        <v>712</v>
      </c>
    </row>
    <row r="37" spans="2:8" x14ac:dyDescent="0.2">
      <c r="B37" s="5" t="s">
        <v>1153</v>
      </c>
    </row>
    <row r="38" spans="2:8" x14ac:dyDescent="0.2">
      <c r="D38" s="5" t="s">
        <v>709</v>
      </c>
    </row>
    <row r="39" spans="2:8" x14ac:dyDescent="0.2">
      <c r="D39" s="5" t="s">
        <v>704</v>
      </c>
    </row>
    <row r="40" spans="2:8" x14ac:dyDescent="0.2">
      <c r="D40" s="5" t="s">
        <v>710</v>
      </c>
    </row>
    <row r="41" spans="2:8" x14ac:dyDescent="0.2">
      <c r="D41" s="5" t="s">
        <v>711</v>
      </c>
    </row>
    <row r="42" spans="2:8" x14ac:dyDescent="0.2">
      <c r="D42" s="5" t="s">
        <v>712</v>
      </c>
    </row>
    <row r="43" spans="2:8" x14ac:dyDescent="0.2">
      <c r="B43" s="5" t="s">
        <v>1154</v>
      </c>
    </row>
    <row r="44" spans="2:8" x14ac:dyDescent="0.2">
      <c r="D44" s="5" t="s">
        <v>1155</v>
      </c>
    </row>
    <row r="45" spans="2:8" x14ac:dyDescent="0.2">
      <c r="E45" s="5" t="s">
        <v>1156</v>
      </c>
      <c r="F45" s="5">
        <v>422</v>
      </c>
      <c r="G45" s="5" t="s">
        <v>19</v>
      </c>
      <c r="H45" s="5" t="s">
        <v>1244</v>
      </c>
    </row>
    <row r="46" spans="2:8" x14ac:dyDescent="0.2">
      <c r="E46" s="5" t="s">
        <v>1157</v>
      </c>
      <c r="F46" s="5">
        <v>494</v>
      </c>
      <c r="G46" s="5" t="s">
        <v>19</v>
      </c>
      <c r="H46" s="5" t="s">
        <v>1244</v>
      </c>
    </row>
    <row r="47" spans="2:8" x14ac:dyDescent="0.2">
      <c r="E47" s="5" t="s">
        <v>1158</v>
      </c>
      <c r="F47" s="5">
        <v>579</v>
      </c>
      <c r="G47" s="5" t="s">
        <v>19</v>
      </c>
      <c r="H47" s="5" t="s">
        <v>1244</v>
      </c>
    </row>
    <row r="48" spans="2:8" x14ac:dyDescent="0.2">
      <c r="E48" s="5" t="s">
        <v>1159</v>
      </c>
      <c r="F48" s="5">
        <v>668</v>
      </c>
      <c r="G48" s="5" t="s">
        <v>19</v>
      </c>
      <c r="H48" s="5" t="s">
        <v>1244</v>
      </c>
    </row>
    <row r="49" spans="4:8" x14ac:dyDescent="0.2">
      <c r="E49" s="5" t="s">
        <v>1160</v>
      </c>
      <c r="F49" s="5">
        <v>739</v>
      </c>
      <c r="G49" s="5" t="s">
        <v>19</v>
      </c>
      <c r="H49" s="5" t="s">
        <v>1244</v>
      </c>
    </row>
    <row r="50" spans="4:8" x14ac:dyDescent="0.2">
      <c r="E50" s="5" t="s">
        <v>1161</v>
      </c>
      <c r="F50" s="5">
        <v>810</v>
      </c>
      <c r="G50" s="5" t="s">
        <v>19</v>
      </c>
      <c r="H50" s="5" t="s">
        <v>1244</v>
      </c>
    </row>
    <row r="51" spans="4:8" x14ac:dyDescent="0.2">
      <c r="D51" s="5" t="s">
        <v>1000</v>
      </c>
    </row>
    <row r="52" spans="4:8" x14ac:dyDescent="0.2">
      <c r="D52" s="5" t="s">
        <v>1162</v>
      </c>
    </row>
    <row r="53" spans="4:8" x14ac:dyDescent="0.2">
      <c r="D53" s="5" t="s">
        <v>1149</v>
      </c>
    </row>
    <row r="54" spans="4:8" x14ac:dyDescent="0.2">
      <c r="E54" s="5" t="s">
        <v>1163</v>
      </c>
      <c r="F54" s="5">
        <v>422</v>
      </c>
      <c r="G54" s="5" t="s">
        <v>19</v>
      </c>
      <c r="H54" s="5" t="s">
        <v>1244</v>
      </c>
    </row>
    <row r="55" spans="4:8" x14ac:dyDescent="0.2">
      <c r="E55" s="5" t="s">
        <v>1164</v>
      </c>
      <c r="F55" s="5">
        <v>494</v>
      </c>
      <c r="G55" s="5" t="s">
        <v>19</v>
      </c>
      <c r="H55" s="5" t="s">
        <v>1244</v>
      </c>
    </row>
    <row r="56" spans="4:8" x14ac:dyDescent="0.2">
      <c r="E56" s="5" t="s">
        <v>1165</v>
      </c>
      <c r="F56" s="5">
        <v>579</v>
      </c>
      <c r="G56" s="5" t="s">
        <v>19</v>
      </c>
      <c r="H56" s="5" t="s">
        <v>1244</v>
      </c>
    </row>
    <row r="57" spans="4:8" x14ac:dyDescent="0.2">
      <c r="E57" s="5" t="s">
        <v>1166</v>
      </c>
      <c r="F57" s="5">
        <v>668</v>
      </c>
      <c r="G57" s="5" t="s">
        <v>19</v>
      </c>
      <c r="H57" s="5" t="s">
        <v>1244</v>
      </c>
    </row>
    <row r="58" spans="4:8" x14ac:dyDescent="0.2">
      <c r="E58" s="5" t="s">
        <v>1167</v>
      </c>
      <c r="F58" s="5">
        <v>739</v>
      </c>
      <c r="G58" s="5" t="s">
        <v>19</v>
      </c>
      <c r="H58" s="5" t="s">
        <v>1244</v>
      </c>
    </row>
    <row r="59" spans="4:8" x14ac:dyDescent="0.2">
      <c r="E59" s="5" t="s">
        <v>1168</v>
      </c>
      <c r="F59" s="5">
        <v>810</v>
      </c>
      <c r="G59" s="5" t="s">
        <v>19</v>
      </c>
      <c r="H59" s="5" t="s">
        <v>1244</v>
      </c>
    </row>
    <row r="60" spans="4:8" x14ac:dyDescent="0.2">
      <c r="D60" s="5" t="s">
        <v>1150</v>
      </c>
    </row>
  </sheetData>
  <autoFilter ref="A18:H18"/>
  <conditionalFormatting sqref="C17">
    <cfRule type="cellIs" dxfId="9" priority="1" stopIfTrue="1" operator="equal">
      <formula>$B$10</formula>
    </cfRule>
    <cfRule type="cellIs" dxfId="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indexed="11"/>
  </sheetPr>
  <dimension ref="A1:H52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40</v>
      </c>
      <c r="C2" s="15">
        <f>IF(ISERROR(VALUE(TRIM(CLEAN(MID(C20,FIND("(",C20)+1,FIND("/",C20,1)-FIND("(",C20)-1))))),0,VALUE(TRIM(CLEAN(MID(C20,FIND("(",C20)+1,FIND("/",C20,1)-FIND("(",C20)-1)))))</f>
        <v>38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166</v>
      </c>
      <c r="C4" s="16">
        <f>IF(ISERROR(VALUE(TRIM(CLEAN(MID(C23,FIND("(",C23)+1,FIND("/",C23,1)-FIND("(",C23)-1))))),0,VALUE(TRIM(CLEAN(MID(C23,FIND("(",C23)+1,FIND("/",C23,1)-FIND("(",C23)-1)))))</f>
        <v>164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73</v>
      </c>
      <c r="C5" s="16">
        <f>IF(ISERROR(VALUE(TRIM(CLEAN(MID(C24,FIND("(",C24)+1,FIND("/",C24,1)-FIND("(",C24)-1))))),0,VALUE(TRIM(CLEAN(MID(C24,FIND("(",C24)+1,FIND("/",C24,1)-FIND("(",C24)-1)))))</f>
        <v>73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281</v>
      </c>
      <c r="C7" s="17">
        <f>SUM(C2:C5)</f>
        <v>277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4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4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4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1170</v>
      </c>
    </row>
    <row r="20" spans="1:8" x14ac:dyDescent="0.2">
      <c r="C20" s="5" t="s">
        <v>1171</v>
      </c>
    </row>
    <row r="21" spans="1:8" x14ac:dyDescent="0.2">
      <c r="C21" s="5" t="s">
        <v>795</v>
      </c>
    </row>
    <row r="22" spans="1:8" x14ac:dyDescent="0.2">
      <c r="C22" s="5" t="s">
        <v>1172</v>
      </c>
    </row>
    <row r="23" spans="1:8" x14ac:dyDescent="0.2">
      <c r="C23" s="5" t="s">
        <v>1173</v>
      </c>
    </row>
    <row r="24" spans="1:8" x14ac:dyDescent="0.2">
      <c r="C24" s="5" t="s">
        <v>1074</v>
      </c>
    </row>
    <row r="25" spans="1:8" x14ac:dyDescent="0.2">
      <c r="B25" s="5" t="s">
        <v>1174</v>
      </c>
    </row>
    <row r="26" spans="1:8" x14ac:dyDescent="0.2">
      <c r="D26" s="5" t="s">
        <v>709</v>
      </c>
    </row>
    <row r="27" spans="1:8" x14ac:dyDescent="0.2">
      <c r="D27" s="5" t="s">
        <v>704</v>
      </c>
    </row>
    <row r="28" spans="1:8" x14ac:dyDescent="0.2">
      <c r="D28" s="5" t="s">
        <v>710</v>
      </c>
    </row>
    <row r="29" spans="1:8" x14ac:dyDescent="0.2">
      <c r="D29" s="5" t="s">
        <v>711</v>
      </c>
    </row>
    <row r="30" spans="1:8" x14ac:dyDescent="0.2">
      <c r="D30" s="5" t="s">
        <v>712</v>
      </c>
    </row>
    <row r="31" spans="1:8" x14ac:dyDescent="0.2">
      <c r="B31" s="5" t="s">
        <v>1175</v>
      </c>
    </row>
    <row r="32" spans="1:8" x14ac:dyDescent="0.2">
      <c r="D32" s="5" t="s">
        <v>709</v>
      </c>
    </row>
    <row r="33" spans="2:8" x14ac:dyDescent="0.2">
      <c r="D33" s="5" t="s">
        <v>704</v>
      </c>
    </row>
    <row r="34" spans="2:8" x14ac:dyDescent="0.2">
      <c r="D34" s="5" t="s">
        <v>710</v>
      </c>
    </row>
    <row r="35" spans="2:8" x14ac:dyDescent="0.2">
      <c r="D35" s="5" t="s">
        <v>711</v>
      </c>
    </row>
    <row r="36" spans="2:8" x14ac:dyDescent="0.2">
      <c r="D36" s="5" t="s">
        <v>712</v>
      </c>
    </row>
    <row r="37" spans="2:8" x14ac:dyDescent="0.2">
      <c r="B37" s="5" t="s">
        <v>1176</v>
      </c>
    </row>
    <row r="38" spans="2:8" x14ac:dyDescent="0.2">
      <c r="D38" s="5" t="s">
        <v>709</v>
      </c>
    </row>
    <row r="39" spans="2:8" x14ac:dyDescent="0.2">
      <c r="D39" s="5" t="s">
        <v>704</v>
      </c>
    </row>
    <row r="40" spans="2:8" x14ac:dyDescent="0.2">
      <c r="D40" s="5" t="s">
        <v>710</v>
      </c>
    </row>
    <row r="41" spans="2:8" x14ac:dyDescent="0.2">
      <c r="D41" s="5" t="s">
        <v>711</v>
      </c>
    </row>
    <row r="42" spans="2:8" x14ac:dyDescent="0.2">
      <c r="D42" s="5" t="s">
        <v>712</v>
      </c>
    </row>
    <row r="43" spans="2:8" x14ac:dyDescent="0.2">
      <c r="B43" s="5" t="s">
        <v>1177</v>
      </c>
    </row>
    <row r="44" spans="2:8" x14ac:dyDescent="0.2">
      <c r="D44" s="5" t="s">
        <v>1178</v>
      </c>
    </row>
    <row r="45" spans="2:8" x14ac:dyDescent="0.2">
      <c r="E45" s="5" t="s">
        <v>1179</v>
      </c>
      <c r="F45" s="5">
        <v>390</v>
      </c>
      <c r="G45" s="5" t="s">
        <v>19</v>
      </c>
      <c r="H45" s="5" t="s">
        <v>1244</v>
      </c>
    </row>
    <row r="46" spans="2:8" x14ac:dyDescent="0.2">
      <c r="E46" s="5" t="s">
        <v>1180</v>
      </c>
      <c r="F46" s="5">
        <v>529</v>
      </c>
      <c r="G46" s="5" t="s">
        <v>19</v>
      </c>
      <c r="H46" s="5" t="s">
        <v>1244</v>
      </c>
    </row>
    <row r="47" spans="2:8" x14ac:dyDescent="0.2">
      <c r="D47" s="5" t="s">
        <v>795</v>
      </c>
    </row>
    <row r="48" spans="2:8" x14ac:dyDescent="0.2">
      <c r="D48" s="5" t="s">
        <v>1181</v>
      </c>
    </row>
    <row r="49" spans="4:8" x14ac:dyDescent="0.2">
      <c r="D49" s="5" t="s">
        <v>1173</v>
      </c>
    </row>
    <row r="50" spans="4:8" x14ac:dyDescent="0.2">
      <c r="E50" s="5" t="s">
        <v>1182</v>
      </c>
      <c r="F50" s="5">
        <v>390</v>
      </c>
      <c r="G50" s="5" t="s">
        <v>19</v>
      </c>
      <c r="H50" s="5" t="s">
        <v>1244</v>
      </c>
    </row>
    <row r="51" spans="4:8" x14ac:dyDescent="0.2">
      <c r="E51" s="5" t="s">
        <v>1183</v>
      </c>
      <c r="F51" s="5">
        <v>529</v>
      </c>
      <c r="G51" s="5" t="s">
        <v>19</v>
      </c>
      <c r="H51" s="5" t="s">
        <v>1244</v>
      </c>
    </row>
    <row r="52" spans="4:8" x14ac:dyDescent="0.2">
      <c r="D52" s="5" t="s">
        <v>1074</v>
      </c>
    </row>
  </sheetData>
  <autoFilter ref="A18:H18"/>
  <conditionalFormatting sqref="C17">
    <cfRule type="cellIs" dxfId="7" priority="1" stopIfTrue="1" operator="equal">
      <formula>$B$10</formula>
    </cfRule>
    <cfRule type="cellIs" dxfId="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5</v>
      </c>
      <c r="C2" s="15">
        <f>IF(ISERROR(VALUE(TRIM(CLEAN(MID(C20,FIND("(",C20)+1,FIND("/",C20,1)-FIND("(",C20)-1))))),0,VALUE(TRIM(CLEAN(MID(C20,FIND("(",C20)+1,FIND("/",C20,1)-FIND("(",C20)-1)))))</f>
        <v>5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12</v>
      </c>
      <c r="C4" s="16">
        <f>IF(ISERROR(VALUE(TRIM(CLEAN(MID(C23,FIND("(",C23)+1,FIND("/",C23,1)-FIND("(",C23)-1))))),0,VALUE(TRIM(CLEAN(MID(C23,FIND("(",C23)+1,FIND("/",C23,1)-FIND("(",C23)-1)))))</f>
        <v>12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5</v>
      </c>
      <c r="C5" s="16">
        <f>IF(ISERROR(VALUE(TRIM(CLEAN(MID(C24,FIND("(",C24)+1,FIND("/",C24,1)-FIND("(",C24)-1))))),0,VALUE(TRIM(CLEAN(MID(C24,FIND("(",C24)+1,FIND("/",C24,1)-FIND("(",C24)-1)))))</f>
        <v>5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22</v>
      </c>
      <c r="C7" s="17">
        <f>SUM(C2:C5)</f>
        <v>22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1185</v>
      </c>
    </row>
    <row r="20" spans="1:8" x14ac:dyDescent="0.2">
      <c r="C20" s="5" t="s">
        <v>714</v>
      </c>
    </row>
    <row r="21" spans="1:8" x14ac:dyDescent="0.2">
      <c r="C21" s="5" t="s">
        <v>704</v>
      </c>
    </row>
    <row r="22" spans="1:8" x14ac:dyDescent="0.2">
      <c r="C22" s="5" t="s">
        <v>715</v>
      </c>
    </row>
    <row r="23" spans="1:8" x14ac:dyDescent="0.2">
      <c r="C23" s="5" t="s">
        <v>825</v>
      </c>
    </row>
    <row r="24" spans="1:8" x14ac:dyDescent="0.2">
      <c r="C24" s="5" t="s">
        <v>780</v>
      </c>
    </row>
    <row r="25" spans="1:8" x14ac:dyDescent="0.2">
      <c r="B25" s="5" t="s">
        <v>1186</v>
      </c>
    </row>
    <row r="26" spans="1:8" x14ac:dyDescent="0.2">
      <c r="D26" s="5" t="s">
        <v>714</v>
      </c>
    </row>
    <row r="27" spans="1:8" x14ac:dyDescent="0.2">
      <c r="D27" s="5" t="s">
        <v>704</v>
      </c>
    </row>
    <row r="28" spans="1:8" x14ac:dyDescent="0.2">
      <c r="D28" s="5" t="s">
        <v>715</v>
      </c>
    </row>
    <row r="29" spans="1:8" x14ac:dyDescent="0.2">
      <c r="D29" s="5" t="s">
        <v>825</v>
      </c>
    </row>
    <row r="30" spans="1:8" x14ac:dyDescent="0.2">
      <c r="D30" s="5" t="s">
        <v>780</v>
      </c>
    </row>
  </sheetData>
  <autoFilter ref="A18:H18"/>
  <conditionalFormatting sqref="C17">
    <cfRule type="cellIs" dxfId="5" priority="1" stopIfTrue="1" operator="equal">
      <formula>$B$10</formula>
    </cfRule>
    <cfRule type="cellIs" dxfId="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indexed="11"/>
  </sheetPr>
  <dimension ref="A1:H160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195</v>
      </c>
      <c r="C2" s="15">
        <f>IF(ISERROR(VALUE(TRIM(CLEAN(MID(C20,FIND("(",C20)+1,FIND("/",C20,1)-FIND("(",C20)-1))))),0,VALUE(TRIM(CLEAN(MID(C20,FIND("(",C20)+1,FIND("/",C20,1)-FIND("(",C20)-1)))))</f>
        <v>187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9</v>
      </c>
      <c r="C3" s="16">
        <f>IF(ISERROR(VALUE(TRIM(CLEAN(MID(C21,FIND("(",C21)+1,FIND("/",C21,1)-FIND("(",C21)-1))))),0,VALUE(TRIM(CLEAN(MID(C21,FIND("(",C21)+1,FIND("/",C21,1)-FIND("(",C21)-1)))))</f>
        <v>9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490</v>
      </c>
      <c r="C4" s="16">
        <f>IF(ISERROR(VALUE(TRIM(CLEAN(MID(C23,FIND("(",C23)+1,FIND("/",C23,1)-FIND("(",C23)-1))))),0,VALUE(TRIM(CLEAN(MID(C23,FIND("(",C23)+1,FIND("/",C23,1)-FIND("(",C23)-1)))))</f>
        <v>482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194</v>
      </c>
      <c r="C5" s="16">
        <f>IF(ISERROR(VALUE(TRIM(CLEAN(MID(C24,FIND("(",C24)+1,FIND("/",C24,1)-FIND("(",C24)-1))))),0,VALUE(TRIM(CLEAN(MID(C24,FIND("(",C24)+1,FIND("/",C24,1)-FIND("(",C24)-1)))))</f>
        <v>194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888</v>
      </c>
      <c r="C7" s="17">
        <f>SUM(C2:C5)</f>
        <v>872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16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16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16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1188</v>
      </c>
    </row>
    <row r="20" spans="1:8" x14ac:dyDescent="0.2">
      <c r="C20" s="5" t="s">
        <v>1189</v>
      </c>
    </row>
    <row r="21" spans="1:8" x14ac:dyDescent="0.2">
      <c r="C21" s="5" t="s">
        <v>886</v>
      </c>
    </row>
    <row r="22" spans="1:8" x14ac:dyDescent="0.2">
      <c r="C22" s="5" t="s">
        <v>1190</v>
      </c>
    </row>
    <row r="23" spans="1:8" x14ac:dyDescent="0.2">
      <c r="C23" s="5" t="s">
        <v>1191</v>
      </c>
    </row>
    <row r="24" spans="1:8" x14ac:dyDescent="0.2">
      <c r="C24" s="5" t="s">
        <v>1192</v>
      </c>
    </row>
    <row r="25" spans="1:8" x14ac:dyDescent="0.2">
      <c r="B25" s="5" t="s">
        <v>1193</v>
      </c>
    </row>
    <row r="26" spans="1:8" x14ac:dyDescent="0.2">
      <c r="D26" s="5" t="s">
        <v>1194</v>
      </c>
    </row>
    <row r="27" spans="1:8" x14ac:dyDescent="0.2">
      <c r="D27" s="5" t="s">
        <v>719</v>
      </c>
    </row>
    <row r="28" spans="1:8" x14ac:dyDescent="0.2">
      <c r="D28" s="5" t="s">
        <v>1064</v>
      </c>
    </row>
    <row r="29" spans="1:8" x14ac:dyDescent="0.2">
      <c r="D29" s="5" t="s">
        <v>1195</v>
      </c>
    </row>
    <row r="30" spans="1:8" x14ac:dyDescent="0.2">
      <c r="D30" s="5" t="s">
        <v>1196</v>
      </c>
    </row>
    <row r="31" spans="1:8" x14ac:dyDescent="0.2">
      <c r="B31" s="5" t="s">
        <v>1197</v>
      </c>
    </row>
    <row r="32" spans="1:8" x14ac:dyDescent="0.2">
      <c r="D32" s="5" t="s">
        <v>1198</v>
      </c>
    </row>
    <row r="33" spans="2:4" x14ac:dyDescent="0.2">
      <c r="D33" s="5" t="s">
        <v>704</v>
      </c>
    </row>
    <row r="34" spans="2:4" x14ac:dyDescent="0.2">
      <c r="D34" s="5" t="s">
        <v>1199</v>
      </c>
    </row>
    <row r="35" spans="2:4" x14ac:dyDescent="0.2">
      <c r="D35" s="5" t="s">
        <v>789</v>
      </c>
    </row>
    <row r="36" spans="2:4" x14ac:dyDescent="0.2">
      <c r="D36" s="5" t="s">
        <v>1120</v>
      </c>
    </row>
    <row r="37" spans="2:4" x14ac:dyDescent="0.2">
      <c r="B37" s="5" t="s">
        <v>1200</v>
      </c>
    </row>
    <row r="38" spans="2:4" x14ac:dyDescent="0.2">
      <c r="D38" s="5" t="s">
        <v>1198</v>
      </c>
    </row>
    <row r="39" spans="2:4" x14ac:dyDescent="0.2">
      <c r="D39" s="5" t="s">
        <v>704</v>
      </c>
    </row>
    <row r="40" spans="2:4" x14ac:dyDescent="0.2">
      <c r="D40" s="5" t="s">
        <v>1199</v>
      </c>
    </row>
    <row r="41" spans="2:4" x14ac:dyDescent="0.2">
      <c r="D41" s="5" t="s">
        <v>740</v>
      </c>
    </row>
    <row r="42" spans="2:4" x14ac:dyDescent="0.2">
      <c r="D42" s="5" t="s">
        <v>741</v>
      </c>
    </row>
    <row r="43" spans="2:4" x14ac:dyDescent="0.2">
      <c r="B43" s="5" t="s">
        <v>1201</v>
      </c>
    </row>
    <row r="44" spans="2:4" x14ac:dyDescent="0.2">
      <c r="D44" s="5" t="s">
        <v>714</v>
      </c>
    </row>
    <row r="45" spans="2:4" x14ac:dyDescent="0.2">
      <c r="D45" s="5" t="s">
        <v>704</v>
      </c>
    </row>
    <row r="46" spans="2:4" x14ac:dyDescent="0.2">
      <c r="D46" s="5" t="s">
        <v>715</v>
      </c>
    </row>
    <row r="47" spans="2:4" x14ac:dyDescent="0.2">
      <c r="D47" s="5" t="s">
        <v>819</v>
      </c>
    </row>
    <row r="48" spans="2:4" x14ac:dyDescent="0.2">
      <c r="D48" s="5" t="s">
        <v>722</v>
      </c>
    </row>
    <row r="49" spans="2:4" x14ac:dyDescent="0.2">
      <c r="B49" s="5" t="s">
        <v>1202</v>
      </c>
    </row>
    <row r="50" spans="2:4" x14ac:dyDescent="0.2">
      <c r="D50" s="5" t="s">
        <v>1198</v>
      </c>
    </row>
    <row r="51" spans="2:4" x14ac:dyDescent="0.2">
      <c r="D51" s="5" t="s">
        <v>704</v>
      </c>
    </row>
    <row r="52" spans="2:4" x14ac:dyDescent="0.2">
      <c r="D52" s="5" t="s">
        <v>1199</v>
      </c>
    </row>
    <row r="53" spans="2:4" x14ac:dyDescent="0.2">
      <c r="D53" s="5" t="s">
        <v>769</v>
      </c>
    </row>
    <row r="54" spans="2:4" x14ac:dyDescent="0.2">
      <c r="D54" s="5" t="s">
        <v>1203</v>
      </c>
    </row>
    <row r="55" spans="2:4" x14ac:dyDescent="0.2">
      <c r="B55" s="5" t="s">
        <v>1204</v>
      </c>
    </row>
    <row r="56" spans="2:4" x14ac:dyDescent="0.2">
      <c r="D56" s="5" t="s">
        <v>714</v>
      </c>
    </row>
    <row r="57" spans="2:4" x14ac:dyDescent="0.2">
      <c r="D57" s="5" t="s">
        <v>704</v>
      </c>
    </row>
    <row r="58" spans="2:4" x14ac:dyDescent="0.2">
      <c r="D58" s="5" t="s">
        <v>715</v>
      </c>
    </row>
    <row r="59" spans="2:4" x14ac:dyDescent="0.2">
      <c r="D59" s="5" t="s">
        <v>825</v>
      </c>
    </row>
    <row r="60" spans="2:4" x14ac:dyDescent="0.2">
      <c r="D60" s="5" t="s">
        <v>1081</v>
      </c>
    </row>
    <row r="61" spans="2:4" x14ac:dyDescent="0.2">
      <c r="B61" s="5" t="s">
        <v>1205</v>
      </c>
    </row>
    <row r="62" spans="2:4" x14ac:dyDescent="0.2">
      <c r="D62" s="5" t="s">
        <v>1198</v>
      </c>
    </row>
    <row r="63" spans="2:4" x14ac:dyDescent="0.2">
      <c r="D63" s="5" t="s">
        <v>704</v>
      </c>
    </row>
    <row r="64" spans="2:4" x14ac:dyDescent="0.2">
      <c r="D64" s="5" t="s">
        <v>1199</v>
      </c>
    </row>
    <row r="65" spans="2:4" x14ac:dyDescent="0.2">
      <c r="D65" s="5" t="s">
        <v>1195</v>
      </c>
    </row>
    <row r="66" spans="2:4" x14ac:dyDescent="0.2">
      <c r="D66" s="5" t="s">
        <v>1206</v>
      </c>
    </row>
    <row r="67" spans="2:4" x14ac:dyDescent="0.2">
      <c r="B67" s="5" t="s">
        <v>1207</v>
      </c>
    </row>
    <row r="68" spans="2:4" x14ac:dyDescent="0.2">
      <c r="D68" s="5" t="s">
        <v>953</v>
      </c>
    </row>
    <row r="69" spans="2:4" x14ac:dyDescent="0.2">
      <c r="D69" s="5" t="s">
        <v>704</v>
      </c>
    </row>
    <row r="70" spans="2:4" x14ac:dyDescent="0.2">
      <c r="D70" s="5" t="s">
        <v>745</v>
      </c>
    </row>
    <row r="71" spans="2:4" x14ac:dyDescent="0.2">
      <c r="D71" s="5" t="s">
        <v>825</v>
      </c>
    </row>
    <row r="72" spans="2:4" x14ac:dyDescent="0.2">
      <c r="D72" s="5" t="s">
        <v>1081</v>
      </c>
    </row>
    <row r="73" spans="2:4" x14ac:dyDescent="0.2">
      <c r="B73" s="5" t="s">
        <v>1208</v>
      </c>
    </row>
    <row r="74" spans="2:4" x14ac:dyDescent="0.2">
      <c r="D74" s="5" t="s">
        <v>953</v>
      </c>
    </row>
    <row r="75" spans="2:4" x14ac:dyDescent="0.2">
      <c r="D75" s="5" t="s">
        <v>704</v>
      </c>
    </row>
    <row r="76" spans="2:4" x14ac:dyDescent="0.2">
      <c r="D76" s="5" t="s">
        <v>745</v>
      </c>
    </row>
    <row r="77" spans="2:4" x14ac:dyDescent="0.2">
      <c r="D77" s="5" t="s">
        <v>1209</v>
      </c>
    </row>
    <row r="78" spans="2:4" x14ac:dyDescent="0.2">
      <c r="D78" s="5" t="s">
        <v>908</v>
      </c>
    </row>
    <row r="79" spans="2:4" x14ac:dyDescent="0.2">
      <c r="B79" s="5" t="s">
        <v>1210</v>
      </c>
    </row>
    <row r="80" spans="2:4" x14ac:dyDescent="0.2">
      <c r="D80" s="5" t="s">
        <v>714</v>
      </c>
    </row>
    <row r="81" spans="2:4" x14ac:dyDescent="0.2">
      <c r="D81" s="5" t="s">
        <v>704</v>
      </c>
    </row>
    <row r="82" spans="2:4" x14ac:dyDescent="0.2">
      <c r="D82" s="5" t="s">
        <v>715</v>
      </c>
    </row>
    <row r="83" spans="2:4" x14ac:dyDescent="0.2">
      <c r="D83" s="5" t="s">
        <v>878</v>
      </c>
    </row>
    <row r="84" spans="2:4" x14ac:dyDescent="0.2">
      <c r="D84" s="5" t="s">
        <v>879</v>
      </c>
    </row>
    <row r="85" spans="2:4" x14ac:dyDescent="0.2">
      <c r="B85" s="5" t="s">
        <v>1211</v>
      </c>
    </row>
    <row r="86" spans="2:4" x14ac:dyDescent="0.2">
      <c r="D86" s="5" t="s">
        <v>714</v>
      </c>
    </row>
    <row r="87" spans="2:4" x14ac:dyDescent="0.2">
      <c r="D87" s="5" t="s">
        <v>704</v>
      </c>
    </row>
    <row r="88" spans="2:4" x14ac:dyDescent="0.2">
      <c r="D88" s="5" t="s">
        <v>715</v>
      </c>
    </row>
    <row r="89" spans="2:4" x14ac:dyDescent="0.2">
      <c r="D89" s="5" t="s">
        <v>762</v>
      </c>
    </row>
    <row r="90" spans="2:4" x14ac:dyDescent="0.2">
      <c r="D90" s="5" t="s">
        <v>741</v>
      </c>
    </row>
    <row r="91" spans="2:4" x14ac:dyDescent="0.2">
      <c r="B91" s="5" t="s">
        <v>1212</v>
      </c>
    </row>
    <row r="92" spans="2:4" x14ac:dyDescent="0.2">
      <c r="D92" s="5" t="s">
        <v>709</v>
      </c>
    </row>
    <row r="93" spans="2:4" x14ac:dyDescent="0.2">
      <c r="D93" s="5" t="s">
        <v>704</v>
      </c>
    </row>
    <row r="94" spans="2:4" x14ac:dyDescent="0.2">
      <c r="D94" s="5" t="s">
        <v>710</v>
      </c>
    </row>
    <row r="95" spans="2:4" x14ac:dyDescent="0.2">
      <c r="D95" s="5" t="s">
        <v>711</v>
      </c>
    </row>
    <row r="96" spans="2:4" x14ac:dyDescent="0.2">
      <c r="D96" s="5" t="s">
        <v>712</v>
      </c>
    </row>
    <row r="97" spans="2:4" x14ac:dyDescent="0.2">
      <c r="B97" s="5" t="s">
        <v>1213</v>
      </c>
    </row>
    <row r="98" spans="2:4" x14ac:dyDescent="0.2">
      <c r="D98" s="5" t="s">
        <v>991</v>
      </c>
    </row>
    <row r="99" spans="2:4" x14ac:dyDescent="0.2">
      <c r="D99" s="5" t="s">
        <v>704</v>
      </c>
    </row>
    <row r="100" spans="2:4" x14ac:dyDescent="0.2">
      <c r="D100" s="5" t="s">
        <v>992</v>
      </c>
    </row>
    <row r="101" spans="2:4" x14ac:dyDescent="0.2">
      <c r="D101" s="5" t="s">
        <v>1214</v>
      </c>
    </row>
    <row r="102" spans="2:4" x14ac:dyDescent="0.2">
      <c r="D102" s="5" t="s">
        <v>1215</v>
      </c>
    </row>
    <row r="103" spans="2:4" x14ac:dyDescent="0.2">
      <c r="B103" s="5" t="s">
        <v>1216</v>
      </c>
    </row>
    <row r="104" spans="2:4" x14ac:dyDescent="0.2">
      <c r="D104" s="5" t="s">
        <v>709</v>
      </c>
    </row>
    <row r="105" spans="2:4" x14ac:dyDescent="0.2">
      <c r="D105" s="5" t="s">
        <v>704</v>
      </c>
    </row>
    <row r="106" spans="2:4" x14ac:dyDescent="0.2">
      <c r="D106" s="5" t="s">
        <v>710</v>
      </c>
    </row>
    <row r="107" spans="2:4" x14ac:dyDescent="0.2">
      <c r="D107" s="5" t="s">
        <v>711</v>
      </c>
    </row>
    <row r="108" spans="2:4" x14ac:dyDescent="0.2">
      <c r="D108" s="5" t="s">
        <v>712</v>
      </c>
    </row>
    <row r="109" spans="2:4" x14ac:dyDescent="0.2">
      <c r="B109" s="5" t="s">
        <v>1217</v>
      </c>
    </row>
    <row r="110" spans="2:4" x14ac:dyDescent="0.2">
      <c r="D110" s="5" t="s">
        <v>709</v>
      </c>
    </row>
    <row r="111" spans="2:4" x14ac:dyDescent="0.2">
      <c r="D111" s="5" t="s">
        <v>704</v>
      </c>
    </row>
    <row r="112" spans="2:4" x14ac:dyDescent="0.2">
      <c r="D112" s="5" t="s">
        <v>710</v>
      </c>
    </row>
    <row r="113" spans="2:8" x14ac:dyDescent="0.2">
      <c r="D113" s="5" t="s">
        <v>711</v>
      </c>
    </row>
    <row r="114" spans="2:8" x14ac:dyDescent="0.2">
      <c r="D114" s="5" t="s">
        <v>712</v>
      </c>
    </row>
    <row r="115" spans="2:8" x14ac:dyDescent="0.2">
      <c r="B115" s="5" t="s">
        <v>1218</v>
      </c>
    </row>
    <row r="116" spans="2:8" x14ac:dyDescent="0.2">
      <c r="D116" s="5" t="s">
        <v>1219</v>
      </c>
    </row>
    <row r="117" spans="2:8" x14ac:dyDescent="0.2">
      <c r="E117" s="5" t="s">
        <v>1220</v>
      </c>
      <c r="F117" s="5">
        <v>1151</v>
      </c>
      <c r="G117" s="5" t="s">
        <v>19</v>
      </c>
      <c r="H117" s="5" t="s">
        <v>1244</v>
      </c>
    </row>
    <row r="118" spans="2:8" x14ac:dyDescent="0.2">
      <c r="E118" s="5" t="s">
        <v>1221</v>
      </c>
      <c r="F118" s="5">
        <v>1226</v>
      </c>
      <c r="G118" s="5" t="s">
        <v>19</v>
      </c>
      <c r="H118" s="5" t="s">
        <v>1244</v>
      </c>
    </row>
    <row r="119" spans="2:8" x14ac:dyDescent="0.2">
      <c r="E119" s="5" t="s">
        <v>1222</v>
      </c>
      <c r="F119" s="5">
        <v>1304</v>
      </c>
      <c r="G119" s="5" t="s">
        <v>19</v>
      </c>
      <c r="H119" s="5" t="s">
        <v>1244</v>
      </c>
    </row>
    <row r="120" spans="2:8" x14ac:dyDescent="0.2">
      <c r="E120" s="5" t="s">
        <v>1223</v>
      </c>
      <c r="F120" s="5">
        <v>1379</v>
      </c>
      <c r="G120" s="5" t="s">
        <v>19</v>
      </c>
      <c r="H120" s="5" t="s">
        <v>1244</v>
      </c>
    </row>
    <row r="121" spans="2:8" x14ac:dyDescent="0.2">
      <c r="E121" s="5" t="s">
        <v>1224</v>
      </c>
      <c r="F121" s="5">
        <v>1457</v>
      </c>
      <c r="G121" s="5" t="s">
        <v>19</v>
      </c>
      <c r="H121" s="5" t="s">
        <v>1244</v>
      </c>
    </row>
    <row r="122" spans="2:8" x14ac:dyDescent="0.2">
      <c r="E122" s="5" t="s">
        <v>1225</v>
      </c>
      <c r="F122" s="5">
        <v>1532</v>
      </c>
      <c r="G122" s="5" t="s">
        <v>19</v>
      </c>
      <c r="H122" s="5" t="s">
        <v>1244</v>
      </c>
    </row>
    <row r="123" spans="2:8" x14ac:dyDescent="0.2">
      <c r="E123" s="5" t="s">
        <v>1226</v>
      </c>
      <c r="F123" s="5">
        <v>1610</v>
      </c>
      <c r="G123" s="5" t="s">
        <v>19</v>
      </c>
      <c r="H123" s="5" t="s">
        <v>1244</v>
      </c>
    </row>
    <row r="124" spans="2:8" x14ac:dyDescent="0.2">
      <c r="E124" s="5" t="s">
        <v>1227</v>
      </c>
      <c r="F124" s="5">
        <v>1685</v>
      </c>
      <c r="G124" s="5" t="s">
        <v>19</v>
      </c>
      <c r="H124" s="5" t="s">
        <v>1244</v>
      </c>
    </row>
    <row r="125" spans="2:8" x14ac:dyDescent="0.2">
      <c r="D125" s="5" t="s">
        <v>1228</v>
      </c>
    </row>
    <row r="126" spans="2:8" x14ac:dyDescent="0.2">
      <c r="D126" s="5" t="s">
        <v>1229</v>
      </c>
    </row>
    <row r="127" spans="2:8" x14ac:dyDescent="0.2">
      <c r="D127" s="5" t="s">
        <v>1230</v>
      </c>
    </row>
    <row r="128" spans="2:8" x14ac:dyDescent="0.2">
      <c r="E128" s="5" t="s">
        <v>1231</v>
      </c>
      <c r="F128" s="5">
        <v>1151</v>
      </c>
      <c r="G128" s="5" t="s">
        <v>19</v>
      </c>
      <c r="H128" s="5" t="s">
        <v>1244</v>
      </c>
    </row>
    <row r="129" spans="2:8" x14ac:dyDescent="0.2">
      <c r="E129" s="5" t="s">
        <v>1232</v>
      </c>
      <c r="F129" s="5">
        <v>1226</v>
      </c>
      <c r="G129" s="5" t="s">
        <v>19</v>
      </c>
      <c r="H129" s="5" t="s">
        <v>1244</v>
      </c>
    </row>
    <row r="130" spans="2:8" x14ac:dyDescent="0.2">
      <c r="E130" s="5" t="s">
        <v>1233</v>
      </c>
      <c r="F130" s="5">
        <v>1304</v>
      </c>
      <c r="G130" s="5" t="s">
        <v>19</v>
      </c>
      <c r="H130" s="5" t="s">
        <v>1244</v>
      </c>
    </row>
    <row r="131" spans="2:8" x14ac:dyDescent="0.2">
      <c r="E131" s="5" t="s">
        <v>1234</v>
      </c>
      <c r="F131" s="5">
        <v>1379</v>
      </c>
      <c r="G131" s="5" t="s">
        <v>19</v>
      </c>
      <c r="H131" s="5" t="s">
        <v>1244</v>
      </c>
    </row>
    <row r="132" spans="2:8" x14ac:dyDescent="0.2">
      <c r="E132" s="5" t="s">
        <v>1235</v>
      </c>
      <c r="F132" s="5">
        <v>1457</v>
      </c>
      <c r="G132" s="5" t="s">
        <v>19</v>
      </c>
      <c r="H132" s="5" t="s">
        <v>1244</v>
      </c>
    </row>
    <row r="133" spans="2:8" x14ac:dyDescent="0.2">
      <c r="E133" s="5" t="s">
        <v>1236</v>
      </c>
      <c r="F133" s="5">
        <v>1532</v>
      </c>
      <c r="G133" s="5" t="s">
        <v>19</v>
      </c>
      <c r="H133" s="5" t="s">
        <v>1244</v>
      </c>
    </row>
    <row r="134" spans="2:8" x14ac:dyDescent="0.2">
      <c r="E134" s="5" t="s">
        <v>1237</v>
      </c>
      <c r="F134" s="5">
        <v>1610</v>
      </c>
      <c r="G134" s="5" t="s">
        <v>19</v>
      </c>
      <c r="H134" s="5" t="s">
        <v>1244</v>
      </c>
    </row>
    <row r="135" spans="2:8" x14ac:dyDescent="0.2">
      <c r="E135" s="5" t="s">
        <v>1238</v>
      </c>
      <c r="F135" s="5">
        <v>1685</v>
      </c>
      <c r="G135" s="5" t="s">
        <v>19</v>
      </c>
      <c r="H135" s="5" t="s">
        <v>1244</v>
      </c>
    </row>
    <row r="136" spans="2:8" x14ac:dyDescent="0.2">
      <c r="D136" s="5" t="s">
        <v>850</v>
      </c>
    </row>
    <row r="137" spans="2:8" x14ac:dyDescent="0.2">
      <c r="B137" s="5" t="s">
        <v>1239</v>
      </c>
    </row>
    <row r="138" spans="2:8" x14ac:dyDescent="0.2">
      <c r="D138" s="5" t="s">
        <v>709</v>
      </c>
    </row>
    <row r="139" spans="2:8" x14ac:dyDescent="0.2">
      <c r="D139" s="5" t="s">
        <v>704</v>
      </c>
    </row>
    <row r="140" spans="2:8" x14ac:dyDescent="0.2">
      <c r="D140" s="5" t="s">
        <v>710</v>
      </c>
    </row>
    <row r="141" spans="2:8" x14ac:dyDescent="0.2">
      <c r="D141" s="5" t="s">
        <v>711</v>
      </c>
    </row>
    <row r="142" spans="2:8" x14ac:dyDescent="0.2">
      <c r="D142" s="5" t="s">
        <v>712</v>
      </c>
    </row>
    <row r="143" spans="2:8" x14ac:dyDescent="0.2">
      <c r="B143" s="5" t="s">
        <v>1240</v>
      </c>
    </row>
    <row r="144" spans="2:8" x14ac:dyDescent="0.2">
      <c r="D144" s="5" t="s">
        <v>709</v>
      </c>
    </row>
    <row r="145" spans="2:4" x14ac:dyDescent="0.2">
      <c r="D145" s="5" t="s">
        <v>704</v>
      </c>
    </row>
    <row r="146" spans="2:4" x14ac:dyDescent="0.2">
      <c r="D146" s="5" t="s">
        <v>710</v>
      </c>
    </row>
    <row r="147" spans="2:4" x14ac:dyDescent="0.2">
      <c r="D147" s="5" t="s">
        <v>711</v>
      </c>
    </row>
    <row r="148" spans="2:4" x14ac:dyDescent="0.2">
      <c r="D148" s="5" t="s">
        <v>712</v>
      </c>
    </row>
    <row r="149" spans="2:4" x14ac:dyDescent="0.2">
      <c r="B149" s="5" t="s">
        <v>1241</v>
      </c>
    </row>
    <row r="150" spans="2:4" x14ac:dyDescent="0.2">
      <c r="D150" s="5" t="s">
        <v>709</v>
      </c>
    </row>
    <row r="151" spans="2:4" x14ac:dyDescent="0.2">
      <c r="D151" s="5" t="s">
        <v>704</v>
      </c>
    </row>
    <row r="152" spans="2:4" x14ac:dyDescent="0.2">
      <c r="D152" s="5" t="s">
        <v>710</v>
      </c>
    </row>
    <row r="153" spans="2:4" x14ac:dyDescent="0.2">
      <c r="D153" s="5" t="s">
        <v>711</v>
      </c>
    </row>
    <row r="154" spans="2:4" x14ac:dyDescent="0.2">
      <c r="D154" s="5" t="s">
        <v>712</v>
      </c>
    </row>
    <row r="155" spans="2:4" x14ac:dyDescent="0.2">
      <c r="B155" s="5" t="s">
        <v>1242</v>
      </c>
    </row>
    <row r="156" spans="2:4" x14ac:dyDescent="0.2">
      <c r="D156" s="5" t="s">
        <v>709</v>
      </c>
    </row>
    <row r="157" spans="2:4" x14ac:dyDescent="0.2">
      <c r="D157" s="5" t="s">
        <v>704</v>
      </c>
    </row>
    <row r="158" spans="2:4" x14ac:dyDescent="0.2">
      <c r="D158" s="5" t="s">
        <v>710</v>
      </c>
    </row>
    <row r="159" spans="2:4" x14ac:dyDescent="0.2">
      <c r="D159" s="5" t="s">
        <v>711</v>
      </c>
    </row>
    <row r="160" spans="2:4" x14ac:dyDescent="0.2">
      <c r="D160" s="5" t="s">
        <v>712</v>
      </c>
    </row>
  </sheetData>
  <autoFilter ref="A18:H18"/>
  <conditionalFormatting sqref="C17">
    <cfRule type="cellIs" dxfId="3" priority="1" stopIfTrue="1" operator="equal">
      <formula>$B$10</formula>
    </cfRule>
    <cfRule type="cellIs" dxfId="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B86E78E8B09C4A8696B687DC246251" ma:contentTypeVersion="0" ma:contentTypeDescription="Create a new document." ma:contentTypeScope="" ma:versionID="9744701e24676886e5666797f029773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5996EDA-F953-4192-A0B1-F01414AF3359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22F78F1A-C7C7-4C96-9A0B-09B988F41E90}">
  <ds:schemaRefs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251CD1B-58C8-42AF-9C88-D1F9EEC11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C63CE5A0-449F-46F9-8B28-6C5451E8FEA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</vt:i4>
      </vt:variant>
    </vt:vector>
  </HeadingPairs>
  <TitlesOfParts>
    <vt:vector size="60" baseType="lpstr">
      <vt:lpstr>Menu</vt:lpstr>
      <vt:lpstr>Summary</vt:lpstr>
      <vt:lpstr>Template</vt:lpstr>
      <vt:lpstr>CSV_Lists</vt:lpstr>
      <vt:lpstr>RECONFIGEPONLYMES</vt:lpstr>
      <vt:lpstr>RECONFIGSTATUS</vt:lpstr>
      <vt:lpstr>RFMCINITIATEDOPTST</vt:lpstr>
      <vt:lpstr>RFMCINITIATEDOPTSTTOPLEVEL</vt:lpstr>
      <vt:lpstr>RINGBTB</vt:lpstr>
      <vt:lpstr>RINGBTBFTCPROTECTION</vt:lpstr>
      <vt:lpstr>RINGBTBFTO</vt:lpstr>
      <vt:lpstr>ROLSPROTECTION</vt:lpstr>
      <vt:lpstr>ROTORBURSTPROTECTION</vt:lpstr>
      <vt:lpstr>RT_ENAB</vt:lpstr>
      <vt:lpstr>SELECTINPUTS</vt:lpstr>
      <vt:lpstr>SELECTOUTPUTS</vt:lpstr>
      <vt:lpstr>SNGLSRC_SPLITSYS_ALTERNATEPATH</vt:lpstr>
      <vt:lpstr>SOFTCALIBRATION</vt:lpstr>
      <vt:lpstr>SOFTCALPROCESSING</vt:lpstr>
      <vt:lpstr>SPLIT235AND115SYS</vt:lpstr>
      <vt:lpstr>SRCID</vt:lpstr>
      <vt:lpstr>SRCPRIORITYTBL</vt:lpstr>
      <vt:lpstr>SSIDESNGLSRC115TO235XXER</vt:lpstr>
      <vt:lpstr>SSIDESNGLSRC235TO115XFER</vt:lpstr>
      <vt:lpstr>SSX_POSTINIT</vt:lpstr>
      <vt:lpstr>SSX_PREINIT</vt:lpstr>
      <vt:lpstr>STAGGER_XFERS</vt:lpstr>
      <vt:lpstr>STARTCONTCONTROL</vt:lpstr>
      <vt:lpstr>TBDPPROTECTION</vt:lpstr>
      <vt:lpstr>TIEBTB</vt:lpstr>
      <vt:lpstr>TIEBTBFTCPROTECTION</vt:lpstr>
      <vt:lpstr>TIEBTBFTO1</vt:lpstr>
      <vt:lpstr>TIEBTBFTO2</vt:lpstr>
      <vt:lpstr>UPFPROTECTION</vt:lpstr>
      <vt:lpstr>UNDERPROTECTIONWITHINHIBITANDC</vt:lpstr>
      <vt:lpstr>V235ATRUHVDCUVPROT</vt:lpstr>
      <vt:lpstr>V235ATRUOTPROT</vt:lpstr>
      <vt:lpstr>V235ATRUSATURATION</vt:lpstr>
      <vt:lpstr>V235BUS_PATH</vt:lpstr>
      <vt:lpstr>V235BUSXFER_ENGINE</vt:lpstr>
      <vt:lpstr>V270BUSSTATE</vt:lpstr>
      <vt:lpstr>V270BUSXFER_ENGINE</vt:lpstr>
      <vt:lpstr>VFSGASGPROTECTIONS</vt:lpstr>
      <vt:lpstr>VFSGDISCMAINTENANCE</vt:lpstr>
      <vt:lpstr>VFSGDISCONNECT</vt:lpstr>
      <vt:lpstr>VFSGOC2ISOLATION</vt:lpstr>
      <vt:lpstr>VFSGOC2PROTECTION</vt:lpstr>
      <vt:lpstr>VFSGOCISOLATION</vt:lpstr>
      <vt:lpstr>VFSGOCPROTECTION</vt:lpstr>
      <vt:lpstr>VFSGOCPROTECTIONUS</vt:lpstr>
      <vt:lpstr>VFSGOFPROTECTION</vt:lpstr>
      <vt:lpstr>VFSGOILPRESSUREMONITOR</vt:lpstr>
      <vt:lpstr>VFSGSRDFAILSAFEPROTECTION</vt:lpstr>
      <vt:lpstr>VFSGUF1PROTECTION</vt:lpstr>
      <vt:lpstr>VFSGUNDERSPEED</vt:lpstr>
      <vt:lpstr>VFSGUV2PROTECTION</vt:lpstr>
      <vt:lpstr>VRCONTROL</vt:lpstr>
      <vt:lpstr>XFERMODES</vt:lpstr>
      <vt:lpstr>XFERSTATE</vt:lpstr>
      <vt:lpstr>XFERSTATUS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Veeran, Venkatachalam      Export License Required - US HCL TECHNOLOGIES LIMITED</dc:creator>
  <cp:keywords>Technical Data</cp:keywords>
  <cp:lastModifiedBy>Manjunath Rajashekar</cp:lastModifiedBy>
  <cp:lastPrinted>2007-09-06T23:01:21Z</cp:lastPrinted>
  <dcterms:created xsi:type="dcterms:W3CDTF">2007-08-14T19:42:07Z</dcterms:created>
  <dcterms:modified xsi:type="dcterms:W3CDTF">2019-04-16T05:32:36Z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</vt:lpwstr>
  </property>
  <property fmtid="{D5CDD505-2E9C-101B-9397-08002B2CF9AE}" pid="3" name="TitusGUID">
    <vt:lpwstr>c257ce07-c2f4-4f5d-9e45-3a75a4661703</vt:lpwstr>
  </property>
  <property fmtid="{D5CDD505-2E9C-101B-9397-08002B2CF9AE}" pid="4" name="UTCTechnicalData">
    <vt:lpwstr>Yes</vt:lpwstr>
  </property>
  <property fmtid="{D5CDD505-2E9C-101B-9397-08002B2CF9AE}" pid="5" name="UTCTechnicalDataKeyword">
    <vt:lpwstr>Technical Data</vt:lpwstr>
  </property>
</Properties>
</file>