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blr1ns5300\ES\ES\Software\787_EPGS\Products\workspace\Manjunath\SCA\SCA_Gaps_Reports\GCU_SCA_REPORT_4-1-2019\GCU_SCA_REPORT_Final\"/>
    </mc:Choice>
  </mc:AlternateContent>
  <bookViews>
    <workbookView xWindow="19230" yWindow="210" windowWidth="18765" windowHeight="11520" tabRatio="875" activeTab="1"/>
  </bookViews>
  <sheets>
    <sheet name="Menu" sheetId="30" r:id="rId1"/>
    <sheet name="Summary" sheetId="228" r:id="rId2"/>
    <sheet name="Template" sheetId="37" r:id="rId3"/>
    <sheet name="CSV_Lists" sheetId="229" r:id="rId4"/>
    <sheet name="LASTSOURCEAIR" sheetId="230" r:id="rId5"/>
    <sheet name="LRUPOSITION" sheetId="231" r:id="rId6"/>
    <sheet name="LVPS_DETECT" sheetId="232" r:id="rId7"/>
    <sheet name="MAINENGSTART" sheetId="233" r:id="rId8"/>
    <sheet name="MASTERSLAVE_AIRCRAFTMODE" sheetId="234" r:id="rId9"/>
    <sheet name="NEWV235SRC" sheetId="235" r:id="rId10"/>
    <sheet name="NVM_SNAPSHOTTRIGGER" sheetId="236" r:id="rId11"/>
    <sheet name="ONESHOTTD_FALLING_EDGE" sheetId="237" r:id="rId12"/>
    <sheet name="ONESHOTTD_RISING_EDGE" sheetId="238" r:id="rId13"/>
    <sheet name="OPENGENCTPROTECTION" sheetId="239" r:id="rId14"/>
    <sheet name="OPERATIONALTESTS" sheetId="240" r:id="rId15"/>
    <sheet name="OPTSTOILDEBRISMONITOR" sheetId="241" r:id="rId16"/>
    <sheet name="OSX_POSTINITFUNC" sheetId="242" r:id="rId17"/>
    <sheet name="OUTPUT_ACTUATION" sheetId="243" r:id="rId18"/>
    <sheet name="OUTPUTPROCESSING" sheetId="244" r:id="rId19"/>
    <sheet name="OVTPUISOLATION" sheetId="245" r:id="rId20"/>
    <sheet name="OVTPUTEST" sheetId="246" r:id="rId21"/>
    <sheet name="OVERPROTECTIONWITHINHIBITANDCO" sheetId="247" r:id="rId22"/>
    <sheet name="OWN235BUS" sheetId="248" r:id="rId23"/>
    <sheet name="OWN235BUSCURRSRC" sheetId="249" r:id="rId24"/>
    <sheet name="OWN235BUSRAWTARSRC" sheetId="250" r:id="rId25"/>
    <sheet name="OWN235BUSSTATE" sheetId="251" r:id="rId26"/>
    <sheet name="OWN235BUSTARSRC" sheetId="252" r:id="rId27"/>
    <sheet name="OWN235BUSXFER" sheetId="253" r:id="rId28"/>
    <sheet name="OWN235BUSXFER_MANAGER" sheetId="254" r:id="rId29"/>
    <sheet name="OWN270BUS" sheetId="255" r:id="rId30"/>
    <sheet name="OWNSRCAVAILABILITY" sheetId="256" r:id="rId31"/>
    <sheet name="PERFORM_235BUSXFER" sheetId="257" r:id="rId32"/>
    <sheet name="PHSEQPROTECTION" sheetId="258" r:id="rId33"/>
    <sheet name="PORMAINTENANCE" sheetId="259" r:id="rId34"/>
    <sheet name="PROTECTIONFLTLTCH" sheetId="260" r:id="rId35"/>
    <sheet name="PWRUP_OPTSTS_BITE_EXECUTIVE" sheetId="278" r:id="rId36"/>
    <sheet name="PWRUPOPTST" sheetId="262" r:id="rId37"/>
    <sheet name="PWRUPOPTSTATUCCONTACTORDRIVER" sheetId="263" r:id="rId38"/>
    <sheet name="PWRUPOPTSTCONTINUOUS" sheetId="264" r:id="rId39"/>
    <sheet name="PWRUPOPTSTCONTINUOUSTOPLEVEL" sheetId="265" r:id="rId40"/>
    <sheet name="PWRUPOPTSTMODE1" sheetId="266" r:id="rId41"/>
    <sheet name="PWRUPOPTSTMODE1_ATRUCELCUTRIPR" sheetId="267" r:id="rId42"/>
    <sheet name="PWRUPOPTSTMODE1_ATUC" sheetId="268" r:id="rId43"/>
    <sheet name="PWRUPOPTSTMODE1_ATUCELCUTRIPRQ" sheetId="269" r:id="rId44"/>
    <sheet name="PWRUPOPTSTMODE2" sheetId="270" r:id="rId45"/>
    <sheet name="PWRUPOPTSTMODE2_ATUCELCUTRIPRQ" sheetId="271" r:id="rId46"/>
    <sheet name="PWRUPOPTSTMODE2_TIEBTB" sheetId="272" r:id="rId47"/>
    <sheet name="PWRUPOPTSTMODE3" sheetId="273" r:id="rId48"/>
    <sheet name="PWRUPOPTSTMODE3_TIEBTB" sheetId="274" r:id="rId49"/>
    <sheet name="PWRUPOPTSTMODE4" sheetId="275" r:id="rId50"/>
    <sheet name="PWRUPOPTSTMODE4_ATUC" sheetId="276" r:id="rId51"/>
    <sheet name="PWRUPOPTSTTIEBTBCONTACTORDRIVE" sheetId="277" r:id="rId52"/>
  </sheets>
  <definedNames>
    <definedName name="_xlnm._FilterDatabase" localSheetId="4" hidden="1">LASTSOURCEAIR!$A$18:$H$18</definedName>
    <definedName name="_xlnm._FilterDatabase" localSheetId="5" hidden="1">LRUPOSITION!$A$18:$H$18</definedName>
    <definedName name="_xlnm._FilterDatabase" localSheetId="6" hidden="1">LVPS_DETECT!$A$18:$H$18</definedName>
    <definedName name="_xlnm._FilterDatabase" localSheetId="7" hidden="1">MAINENGSTART!$A$18:$H$18</definedName>
    <definedName name="_xlnm._FilterDatabase" localSheetId="8" hidden="1">MASTERSLAVE_AIRCRAFTMODE!$A$18:$H$18</definedName>
    <definedName name="_xlnm._FilterDatabase" localSheetId="9" hidden="1">NEWV235SRC!$A$18:$H$18</definedName>
    <definedName name="_xlnm._FilterDatabase" localSheetId="10" hidden="1">NVM_SNAPSHOTTRIGGER!$A$18:$H$18</definedName>
    <definedName name="_xlnm._FilterDatabase" localSheetId="11" hidden="1">ONESHOTTD_FALLING_EDGE!$A$18:$H$18</definedName>
    <definedName name="_xlnm._FilterDatabase" localSheetId="12" hidden="1">ONESHOTTD_RISING_EDGE!$A$18:$H$18</definedName>
    <definedName name="_xlnm._FilterDatabase" localSheetId="13" hidden="1">OPENGENCTPROTECTION!$A$18:$H$18</definedName>
    <definedName name="_xlnm._FilterDatabase" localSheetId="14" hidden="1">OPERATIONALTESTS!$A$18:$H$18</definedName>
    <definedName name="_xlnm._FilterDatabase" localSheetId="15" hidden="1">OPTSTOILDEBRISMONITOR!$A$18:$H$18</definedName>
    <definedName name="_xlnm._FilterDatabase" localSheetId="16" hidden="1">OSX_POSTINITFUNC!$A$18:$H$18</definedName>
    <definedName name="_xlnm._FilterDatabase" localSheetId="17" hidden="1">OUTPUT_ACTUATION!$A$18:$H$18</definedName>
    <definedName name="_xlnm._FilterDatabase" localSheetId="18" hidden="1">OUTPUTPROCESSING!$A$18:$H$18</definedName>
    <definedName name="_xlnm._FilterDatabase" localSheetId="21" hidden="1">OVERPROTECTIONWITHINHIBITANDCO!$A$18:$H$18</definedName>
    <definedName name="_xlnm._FilterDatabase" localSheetId="19" hidden="1">OVTPUISOLATION!$A$18:$H$18</definedName>
    <definedName name="_xlnm._FilterDatabase" localSheetId="20" hidden="1">OVTPUTEST!$A$18:$H$18</definedName>
    <definedName name="_xlnm._FilterDatabase" localSheetId="22" hidden="1">OWN235BUS!$A$18:$H$18</definedName>
    <definedName name="_xlnm._FilterDatabase" localSheetId="23" hidden="1">OWN235BUSCURRSRC!$A$18:$H$18</definedName>
    <definedName name="_xlnm._FilterDatabase" localSheetId="24" hidden="1">OWN235BUSRAWTARSRC!$A$18:$H$18</definedName>
    <definedName name="_xlnm._FilterDatabase" localSheetId="25" hidden="1">OWN235BUSSTATE!$A$18:$H$18</definedName>
    <definedName name="_xlnm._FilterDatabase" localSheetId="26" hidden="1">OWN235BUSTARSRC!$A$18:$H$18</definedName>
    <definedName name="_xlnm._FilterDatabase" localSheetId="27" hidden="1">OWN235BUSXFER!$A$18:$H$18</definedName>
    <definedName name="_xlnm._FilterDatabase" localSheetId="28" hidden="1">OWN235BUSXFER_MANAGER!$A$18:$H$18</definedName>
    <definedName name="_xlnm._FilterDatabase" localSheetId="29" hidden="1">OWN270BUS!$A$18:$H$18</definedName>
    <definedName name="_xlnm._FilterDatabase" localSheetId="30" hidden="1">OWNSRCAVAILABILITY!$A$18:$H$18</definedName>
    <definedName name="_xlnm._FilterDatabase" localSheetId="31" hidden="1">PERFORM_235BUSXFER!$A$18:$H$18</definedName>
    <definedName name="_xlnm._FilterDatabase" localSheetId="32" hidden="1">PHSEQPROTECTION!$A$18:$H$18</definedName>
    <definedName name="_xlnm._FilterDatabase" localSheetId="33" hidden="1">PORMAINTENANCE!$A$18:$H$18</definedName>
    <definedName name="_xlnm._FilterDatabase" localSheetId="34" hidden="1">PROTECTIONFLTLTCH!$A$18:$H$18</definedName>
    <definedName name="_xlnm._FilterDatabase" localSheetId="35" hidden="1">PWRUP_OPTSTS_BITE_EXECUTIVE!$A$18:$H$18</definedName>
    <definedName name="_xlnm._FilterDatabase" localSheetId="36" hidden="1">PWRUPOPTST!$A$18:$H$18</definedName>
    <definedName name="_xlnm._FilterDatabase" localSheetId="37" hidden="1">PWRUPOPTSTATUCCONTACTORDRIVER!$A$18:$H$18</definedName>
    <definedName name="_xlnm._FilterDatabase" localSheetId="38" hidden="1">PWRUPOPTSTCONTINUOUS!$A$18:$H$18</definedName>
    <definedName name="_xlnm._FilterDatabase" localSheetId="39" hidden="1">PWRUPOPTSTCONTINUOUSTOPLEVEL!$A$18:$H$18</definedName>
    <definedName name="_xlnm._FilterDatabase" localSheetId="40" hidden="1">PWRUPOPTSTMODE1!$A$18:$H$18</definedName>
    <definedName name="_xlnm._FilterDatabase" localSheetId="41" hidden="1">PWRUPOPTSTMODE1_ATRUCELCUTRIPR!$A$18:$H$18</definedName>
    <definedName name="_xlnm._FilterDatabase" localSheetId="42" hidden="1">PWRUPOPTSTMODE1_ATUC!$A$18:$H$18</definedName>
    <definedName name="_xlnm._FilterDatabase" localSheetId="43" hidden="1">PWRUPOPTSTMODE1_ATUCELCUTRIPRQ!$A$18:$H$18</definedName>
    <definedName name="_xlnm._FilterDatabase" localSheetId="44" hidden="1">PWRUPOPTSTMODE2!$A$18:$H$18</definedName>
    <definedName name="_xlnm._FilterDatabase" localSheetId="45" hidden="1">PWRUPOPTSTMODE2_ATUCELCUTRIPRQ!$A$18:$H$18</definedName>
    <definedName name="_xlnm._FilterDatabase" localSheetId="46" hidden="1">PWRUPOPTSTMODE2_TIEBTB!$A$18:$H$18</definedName>
    <definedName name="_xlnm._FilterDatabase" localSheetId="47" hidden="1">PWRUPOPTSTMODE3!$A$18:$H$18</definedName>
    <definedName name="_xlnm._FilterDatabase" localSheetId="48" hidden="1">PWRUPOPTSTMODE3_TIEBTB!$A$18:$H$18</definedName>
    <definedName name="_xlnm._FilterDatabase" localSheetId="49" hidden="1">PWRUPOPTSTMODE4!$A$18:$H$18</definedName>
    <definedName name="_xlnm._FilterDatabase" localSheetId="50" hidden="1">PWRUPOPTSTMODE4_ATUC!$A$18:$H$18</definedName>
    <definedName name="_xlnm._FilterDatabase" localSheetId="51" hidden="1">PWRUPOPTSTTIEBTBCONTACTORDRIVE!$A$18:$H$18</definedName>
    <definedName name="_xlnm._FilterDatabase" localSheetId="2" hidden="1">Template!$A$18:$H$18</definedName>
    <definedName name="Action_Resolution" localSheetId="4">#REF!</definedName>
    <definedName name="Action_Resolution" localSheetId="5">#REF!</definedName>
    <definedName name="Action_Resolution" localSheetId="6">#REF!</definedName>
    <definedName name="Action_Resolution" localSheetId="7">#REF!</definedName>
    <definedName name="Action_Resolution" localSheetId="8">#REF!</definedName>
    <definedName name="Action_Resolution" localSheetId="9">#REF!</definedName>
    <definedName name="Action_Resolution" localSheetId="10">#REF!</definedName>
    <definedName name="Action_Resolution" localSheetId="11">#REF!</definedName>
    <definedName name="Action_Resolution" localSheetId="12">#REF!</definedName>
    <definedName name="Action_Resolution" localSheetId="13">#REF!</definedName>
    <definedName name="Action_Resolution" localSheetId="14">#REF!</definedName>
    <definedName name="Action_Resolution" localSheetId="15">#REF!</definedName>
    <definedName name="Action_Resolution" localSheetId="16">#REF!</definedName>
    <definedName name="Action_Resolution" localSheetId="17">#REF!</definedName>
    <definedName name="Action_Resolution" localSheetId="18">#REF!</definedName>
    <definedName name="Action_Resolution" localSheetId="21">#REF!</definedName>
    <definedName name="Action_Resolution" localSheetId="19">#REF!</definedName>
    <definedName name="Action_Resolution" localSheetId="20">#REF!</definedName>
    <definedName name="Action_Resolution" localSheetId="22">#REF!</definedName>
    <definedName name="Action_Resolution" localSheetId="23">#REF!</definedName>
    <definedName name="Action_Resolution" localSheetId="24">#REF!</definedName>
    <definedName name="Action_Resolution" localSheetId="25">#REF!</definedName>
    <definedName name="Action_Resolution" localSheetId="26">#REF!</definedName>
    <definedName name="Action_Resolution" localSheetId="27">#REF!</definedName>
    <definedName name="Action_Resolution" localSheetId="28">#REF!</definedName>
    <definedName name="Action_Resolution" localSheetId="29">#REF!</definedName>
    <definedName name="Action_Resolution" localSheetId="30">#REF!</definedName>
    <definedName name="Action_Resolution" localSheetId="31">#REF!</definedName>
    <definedName name="Action_Resolution" localSheetId="32">#REF!</definedName>
    <definedName name="Action_Resolution" localSheetId="33">#REF!</definedName>
    <definedName name="Action_Resolution" localSheetId="34">#REF!</definedName>
    <definedName name="Action_Resolution" localSheetId="35">#REF!</definedName>
    <definedName name="Action_Resolution" localSheetId="36">#REF!</definedName>
    <definedName name="Action_Resolution" localSheetId="37">#REF!</definedName>
    <definedName name="Action_Resolution" localSheetId="38">#REF!</definedName>
    <definedName name="Action_Resolution" localSheetId="39">#REF!</definedName>
    <definedName name="Action_Resolution" localSheetId="40">#REF!</definedName>
    <definedName name="Action_Resolution" localSheetId="41">#REF!</definedName>
    <definedName name="Action_Resolution" localSheetId="42">#REF!</definedName>
    <definedName name="Action_Resolution" localSheetId="43">#REF!</definedName>
    <definedName name="Action_Resolution" localSheetId="44">#REF!</definedName>
    <definedName name="Action_Resolution" localSheetId="45">#REF!</definedName>
    <definedName name="Action_Resolution" localSheetId="46">#REF!</definedName>
    <definedName name="Action_Resolution" localSheetId="47">#REF!</definedName>
    <definedName name="Action_Resolution" localSheetId="48">#REF!</definedName>
    <definedName name="Action_Resolution" localSheetId="49">#REF!</definedName>
    <definedName name="Action_Resolution" localSheetId="50">#REF!</definedName>
    <definedName name="Action_Resolution" localSheetId="51">#REF!</definedName>
    <definedName name="Action_Resolution">#REF!</definedName>
    <definedName name="Supp_Status" localSheetId="4">#REF!</definedName>
    <definedName name="Supp_Status" localSheetId="5">#REF!</definedName>
    <definedName name="Supp_Status" localSheetId="6">#REF!</definedName>
    <definedName name="Supp_Status" localSheetId="7">#REF!</definedName>
    <definedName name="Supp_Status" localSheetId="8">#REF!</definedName>
    <definedName name="Supp_Status" localSheetId="9">#REF!</definedName>
    <definedName name="Supp_Status" localSheetId="10">#REF!</definedName>
    <definedName name="Supp_Status" localSheetId="11">#REF!</definedName>
    <definedName name="Supp_Status" localSheetId="12">#REF!</definedName>
    <definedName name="Supp_Status" localSheetId="13">#REF!</definedName>
    <definedName name="Supp_Status" localSheetId="14">#REF!</definedName>
    <definedName name="Supp_Status" localSheetId="15">#REF!</definedName>
    <definedName name="Supp_Status" localSheetId="16">#REF!</definedName>
    <definedName name="Supp_Status" localSheetId="17">#REF!</definedName>
    <definedName name="Supp_Status" localSheetId="18">#REF!</definedName>
    <definedName name="Supp_Status" localSheetId="21">#REF!</definedName>
    <definedName name="Supp_Status" localSheetId="19">#REF!</definedName>
    <definedName name="Supp_Status" localSheetId="20">#REF!</definedName>
    <definedName name="Supp_Status" localSheetId="22">#REF!</definedName>
    <definedName name="Supp_Status" localSheetId="23">#REF!</definedName>
    <definedName name="Supp_Status" localSheetId="24">#REF!</definedName>
    <definedName name="Supp_Status" localSheetId="25">#REF!</definedName>
    <definedName name="Supp_Status" localSheetId="26">#REF!</definedName>
    <definedName name="Supp_Status" localSheetId="27">#REF!</definedName>
    <definedName name="Supp_Status" localSheetId="28">#REF!</definedName>
    <definedName name="Supp_Status" localSheetId="29">#REF!</definedName>
    <definedName name="Supp_Status" localSheetId="30">#REF!</definedName>
    <definedName name="Supp_Status" localSheetId="31">#REF!</definedName>
    <definedName name="Supp_Status" localSheetId="32">#REF!</definedName>
    <definedName name="Supp_Status" localSheetId="33">#REF!</definedName>
    <definedName name="Supp_Status" localSheetId="34">#REF!</definedName>
    <definedName name="Supp_Status" localSheetId="35">#REF!</definedName>
    <definedName name="Supp_Status" localSheetId="36">#REF!</definedName>
    <definedName name="Supp_Status" localSheetId="37">#REF!</definedName>
    <definedName name="Supp_Status" localSheetId="38">#REF!</definedName>
    <definedName name="Supp_Status" localSheetId="39">#REF!</definedName>
    <definedName name="Supp_Status" localSheetId="40">#REF!</definedName>
    <definedName name="Supp_Status" localSheetId="41">#REF!</definedName>
    <definedName name="Supp_Status" localSheetId="42">#REF!</definedName>
    <definedName name="Supp_Status" localSheetId="43">#REF!</definedName>
    <definedName name="Supp_Status" localSheetId="44">#REF!</definedName>
    <definedName name="Supp_Status" localSheetId="45">#REF!</definedName>
    <definedName name="Supp_Status" localSheetId="46">#REF!</definedName>
    <definedName name="Supp_Status" localSheetId="47">#REF!</definedName>
    <definedName name="Supp_Status" localSheetId="48">#REF!</definedName>
    <definedName name="Supp_Status" localSheetId="49">#REF!</definedName>
    <definedName name="Supp_Status" localSheetId="50">#REF!</definedName>
    <definedName name="Supp_Status" localSheetId="51">#REF!</definedName>
    <definedName name="Supp_Status">#REF!</definedName>
  </definedNames>
  <calcPr calcId="152511"/>
</workbook>
</file>

<file path=xl/calcChain.xml><?xml version="1.0" encoding="utf-8"?>
<calcChain xmlns="http://schemas.openxmlformats.org/spreadsheetml/2006/main">
  <c r="C16" i="278" l="1"/>
  <c r="C15" i="278"/>
  <c r="C14" i="278"/>
  <c r="C13" i="278"/>
  <c r="C12" i="278"/>
  <c r="C11" i="278"/>
  <c r="C5" i="278"/>
  <c r="B5" i="278"/>
  <c r="C4" i="278"/>
  <c r="B4" i="278"/>
  <c r="C3" i="278"/>
  <c r="B3" i="278"/>
  <c r="C2" i="278"/>
  <c r="B2" i="278"/>
  <c r="C7" i="278" l="1"/>
  <c r="B7" i="278"/>
  <c r="C17" i="278"/>
  <c r="C16" i="277"/>
  <c r="C15" i="277"/>
  <c r="C14" i="277"/>
  <c r="C13" i="277"/>
  <c r="C12" i="277"/>
  <c r="C11" i="277"/>
  <c r="C5" i="277"/>
  <c r="B5" i="277"/>
  <c r="C4" i="277"/>
  <c r="B4" i="277"/>
  <c r="C3" i="277"/>
  <c r="B3" i="277"/>
  <c r="C2" i="277"/>
  <c r="B2" i="277"/>
  <c r="C16" i="276"/>
  <c r="C15" i="276"/>
  <c r="C14" i="276"/>
  <c r="C13" i="276"/>
  <c r="C12" i="276"/>
  <c r="C11" i="276"/>
  <c r="C5" i="276"/>
  <c r="B5" i="276"/>
  <c r="C4" i="276"/>
  <c r="B4" i="276"/>
  <c r="C3" i="276"/>
  <c r="B3" i="276"/>
  <c r="C2" i="276"/>
  <c r="B2" i="276"/>
  <c r="C16" i="275"/>
  <c r="C15" i="275"/>
  <c r="C14" i="275"/>
  <c r="C13" i="275"/>
  <c r="C12" i="275"/>
  <c r="C11" i="275"/>
  <c r="C5" i="275"/>
  <c r="B5" i="275"/>
  <c r="C4" i="275"/>
  <c r="B4" i="275"/>
  <c r="C3" i="275"/>
  <c r="B3" i="275"/>
  <c r="C2" i="275"/>
  <c r="B2" i="275"/>
  <c r="C16" i="274"/>
  <c r="C15" i="274"/>
  <c r="C14" i="274"/>
  <c r="C13" i="274"/>
  <c r="C12" i="274"/>
  <c r="C11" i="274"/>
  <c r="C5" i="274"/>
  <c r="B5" i="274"/>
  <c r="C4" i="274"/>
  <c r="B4" i="274"/>
  <c r="C3" i="274"/>
  <c r="B3" i="274"/>
  <c r="C2" i="274"/>
  <c r="B2" i="274"/>
  <c r="C16" i="273"/>
  <c r="C15" i="273"/>
  <c r="C14" i="273"/>
  <c r="C13" i="273"/>
  <c r="C12" i="273"/>
  <c r="C11" i="273"/>
  <c r="C5" i="273"/>
  <c r="B5" i="273"/>
  <c r="C4" i="273"/>
  <c r="B4" i="273"/>
  <c r="C3" i="273"/>
  <c r="B3" i="273"/>
  <c r="C2" i="273"/>
  <c r="B2" i="273"/>
  <c r="C16" i="272"/>
  <c r="C15" i="272"/>
  <c r="C14" i="272"/>
  <c r="C13" i="272"/>
  <c r="C12" i="272"/>
  <c r="C11" i="272"/>
  <c r="C5" i="272"/>
  <c r="B5" i="272"/>
  <c r="C4" i="272"/>
  <c r="B4" i="272"/>
  <c r="C3" i="272"/>
  <c r="B3" i="272"/>
  <c r="C2" i="272"/>
  <c r="B2" i="272"/>
  <c r="C16" i="271"/>
  <c r="C15" i="271"/>
  <c r="C14" i="271"/>
  <c r="C13" i="271"/>
  <c r="C12" i="271"/>
  <c r="C11" i="271"/>
  <c r="C5" i="271"/>
  <c r="B5" i="271"/>
  <c r="C4" i="271"/>
  <c r="B4" i="271"/>
  <c r="C3" i="271"/>
  <c r="B3" i="271"/>
  <c r="C2" i="271"/>
  <c r="B2" i="271"/>
  <c r="C16" i="270"/>
  <c r="C15" i="270"/>
  <c r="C14" i="270"/>
  <c r="C13" i="270"/>
  <c r="C12" i="270"/>
  <c r="C11" i="270"/>
  <c r="C5" i="270"/>
  <c r="B5" i="270"/>
  <c r="C4" i="270"/>
  <c r="B4" i="270"/>
  <c r="C3" i="270"/>
  <c r="B3" i="270"/>
  <c r="C2" i="270"/>
  <c r="B2" i="270"/>
  <c r="C16" i="269"/>
  <c r="C15" i="269"/>
  <c r="C14" i="269"/>
  <c r="C13" i="269"/>
  <c r="C12" i="269"/>
  <c r="C11" i="269"/>
  <c r="C5" i="269"/>
  <c r="B5" i="269"/>
  <c r="C4" i="269"/>
  <c r="B4" i="269"/>
  <c r="C3" i="269"/>
  <c r="B3" i="269"/>
  <c r="C2" i="269"/>
  <c r="B2" i="269"/>
  <c r="C16" i="268"/>
  <c r="C15" i="268"/>
  <c r="C14" i="268"/>
  <c r="C13" i="268"/>
  <c r="C12" i="268"/>
  <c r="C11" i="268"/>
  <c r="C5" i="268"/>
  <c r="B5" i="268"/>
  <c r="C4" i="268"/>
  <c r="B4" i="268"/>
  <c r="C3" i="268"/>
  <c r="B3" i="268"/>
  <c r="C2" i="268"/>
  <c r="B2" i="268"/>
  <c r="C16" i="267"/>
  <c r="C15" i="267"/>
  <c r="C14" i="267"/>
  <c r="C13" i="267"/>
  <c r="C12" i="267"/>
  <c r="C11" i="267"/>
  <c r="C5" i="267"/>
  <c r="B5" i="267"/>
  <c r="C4" i="267"/>
  <c r="B4" i="267"/>
  <c r="C3" i="267"/>
  <c r="B3" i="267"/>
  <c r="C2" i="267"/>
  <c r="B2" i="267"/>
  <c r="C16" i="266"/>
  <c r="C15" i="266"/>
  <c r="C14" i="266"/>
  <c r="C13" i="266"/>
  <c r="C12" i="266"/>
  <c r="C11" i="266"/>
  <c r="C5" i="266"/>
  <c r="B5" i="266"/>
  <c r="C4" i="266"/>
  <c r="B4" i="266"/>
  <c r="C3" i="266"/>
  <c r="B3" i="266"/>
  <c r="C2" i="266"/>
  <c r="B2" i="266"/>
  <c r="C16" i="265"/>
  <c r="C15" i="265"/>
  <c r="C14" i="265"/>
  <c r="C13" i="265"/>
  <c r="C12" i="265"/>
  <c r="C11" i="265"/>
  <c r="C5" i="265"/>
  <c r="B5" i="265"/>
  <c r="C4" i="265"/>
  <c r="B4" i="265"/>
  <c r="C3" i="265"/>
  <c r="B3" i="265"/>
  <c r="C2" i="265"/>
  <c r="B2" i="265"/>
  <c r="C16" i="264"/>
  <c r="C15" i="264"/>
  <c r="C14" i="264"/>
  <c r="C13" i="264"/>
  <c r="C12" i="264"/>
  <c r="C11" i="264"/>
  <c r="C5" i="264"/>
  <c r="B5" i="264"/>
  <c r="C4" i="264"/>
  <c r="B4" i="264"/>
  <c r="C3" i="264"/>
  <c r="B3" i="264"/>
  <c r="C2" i="264"/>
  <c r="B2" i="264"/>
  <c r="C16" i="263"/>
  <c r="C15" i="263"/>
  <c r="C14" i="263"/>
  <c r="C13" i="263"/>
  <c r="C12" i="263"/>
  <c r="C11" i="263"/>
  <c r="C5" i="263"/>
  <c r="B5" i="263"/>
  <c r="C4" i="263"/>
  <c r="B4" i="263"/>
  <c r="C3" i="263"/>
  <c r="B3" i="263"/>
  <c r="C2" i="263"/>
  <c r="B2" i="263"/>
  <c r="C16" i="262"/>
  <c r="C15" i="262"/>
  <c r="C14" i="262"/>
  <c r="C13" i="262"/>
  <c r="C12" i="262"/>
  <c r="C11" i="262"/>
  <c r="C5" i="262"/>
  <c r="B5" i="262"/>
  <c r="C4" i="262"/>
  <c r="B4" i="262"/>
  <c r="C3" i="262"/>
  <c r="B3" i="262"/>
  <c r="C2" i="262"/>
  <c r="B2" i="262"/>
  <c r="C16" i="260"/>
  <c r="C15" i="260"/>
  <c r="C14" i="260"/>
  <c r="C13" i="260"/>
  <c r="C12" i="260"/>
  <c r="C11" i="260"/>
  <c r="C5" i="260"/>
  <c r="B5" i="260"/>
  <c r="C4" i="260"/>
  <c r="B4" i="260"/>
  <c r="C3" i="260"/>
  <c r="B3" i="260"/>
  <c r="C2" i="260"/>
  <c r="B2" i="260"/>
  <c r="C16" i="259"/>
  <c r="C15" i="259"/>
  <c r="C14" i="259"/>
  <c r="C13" i="259"/>
  <c r="C12" i="259"/>
  <c r="C11" i="259"/>
  <c r="C5" i="259"/>
  <c r="B5" i="259"/>
  <c r="C4" i="259"/>
  <c r="B4" i="259"/>
  <c r="C3" i="259"/>
  <c r="B3" i="259"/>
  <c r="C2" i="259"/>
  <c r="B2" i="259"/>
  <c r="C16" i="258"/>
  <c r="C15" i="258"/>
  <c r="C14" i="258"/>
  <c r="C13" i="258"/>
  <c r="C12" i="258"/>
  <c r="C11" i="258"/>
  <c r="C5" i="258"/>
  <c r="B5" i="258"/>
  <c r="C4" i="258"/>
  <c r="B4" i="258"/>
  <c r="C3" i="258"/>
  <c r="B3" i="258"/>
  <c r="C2" i="258"/>
  <c r="B2" i="258"/>
  <c r="C16" i="257"/>
  <c r="C15" i="257"/>
  <c r="C14" i="257"/>
  <c r="C13" i="257"/>
  <c r="C12" i="257"/>
  <c r="C11" i="257"/>
  <c r="C5" i="257"/>
  <c r="B5" i="257"/>
  <c r="C4" i="257"/>
  <c r="B4" i="257"/>
  <c r="C3" i="257"/>
  <c r="B3" i="257"/>
  <c r="C2" i="257"/>
  <c r="B2" i="257"/>
  <c r="C16" i="256"/>
  <c r="C15" i="256"/>
  <c r="C14" i="256"/>
  <c r="C13" i="256"/>
  <c r="C12" i="256"/>
  <c r="C11" i="256"/>
  <c r="C5" i="256"/>
  <c r="B5" i="256"/>
  <c r="C4" i="256"/>
  <c r="B4" i="256"/>
  <c r="C3" i="256"/>
  <c r="B3" i="256"/>
  <c r="C2" i="256"/>
  <c r="B2" i="256"/>
  <c r="C16" i="255"/>
  <c r="C15" i="255"/>
  <c r="C14" i="255"/>
  <c r="C13" i="255"/>
  <c r="C12" i="255"/>
  <c r="C11" i="255"/>
  <c r="C5" i="255"/>
  <c r="B5" i="255"/>
  <c r="C4" i="255"/>
  <c r="B4" i="255"/>
  <c r="C3" i="255"/>
  <c r="B3" i="255"/>
  <c r="C2" i="255"/>
  <c r="B2" i="255"/>
  <c r="C16" i="254"/>
  <c r="C15" i="254"/>
  <c r="C14" i="254"/>
  <c r="C13" i="254"/>
  <c r="C12" i="254"/>
  <c r="C11" i="254"/>
  <c r="C5" i="254"/>
  <c r="B5" i="254"/>
  <c r="C4" i="254"/>
  <c r="B4" i="254"/>
  <c r="C3" i="254"/>
  <c r="B3" i="254"/>
  <c r="C2" i="254"/>
  <c r="B2" i="254"/>
  <c r="C16" i="253"/>
  <c r="C15" i="253"/>
  <c r="C14" i="253"/>
  <c r="C13" i="253"/>
  <c r="C12" i="253"/>
  <c r="C11" i="253"/>
  <c r="C5" i="253"/>
  <c r="B5" i="253"/>
  <c r="C4" i="253"/>
  <c r="B4" i="253"/>
  <c r="C3" i="253"/>
  <c r="B3" i="253"/>
  <c r="C2" i="253"/>
  <c r="B2" i="253"/>
  <c r="C16" i="252"/>
  <c r="C15" i="252"/>
  <c r="C14" i="252"/>
  <c r="C13" i="252"/>
  <c r="C12" i="252"/>
  <c r="C11" i="252"/>
  <c r="C5" i="252"/>
  <c r="B5" i="252"/>
  <c r="C4" i="252"/>
  <c r="B4" i="252"/>
  <c r="C3" i="252"/>
  <c r="B3" i="252"/>
  <c r="C2" i="252"/>
  <c r="B2" i="252"/>
  <c r="C16" i="251"/>
  <c r="C15" i="251"/>
  <c r="C14" i="251"/>
  <c r="C13" i="251"/>
  <c r="C12" i="251"/>
  <c r="C11" i="251"/>
  <c r="C5" i="251"/>
  <c r="B5" i="251"/>
  <c r="C4" i="251"/>
  <c r="B4" i="251"/>
  <c r="C3" i="251"/>
  <c r="B3" i="251"/>
  <c r="C2" i="251"/>
  <c r="B2" i="251"/>
  <c r="C16" i="250"/>
  <c r="C15" i="250"/>
  <c r="C14" i="250"/>
  <c r="C13" i="250"/>
  <c r="C12" i="250"/>
  <c r="C11" i="250"/>
  <c r="C5" i="250"/>
  <c r="B5" i="250"/>
  <c r="C4" i="250"/>
  <c r="B4" i="250"/>
  <c r="C3" i="250"/>
  <c r="B3" i="250"/>
  <c r="C2" i="250"/>
  <c r="B2" i="250"/>
  <c r="C16" i="249"/>
  <c r="C15" i="249"/>
  <c r="C14" i="249"/>
  <c r="C13" i="249"/>
  <c r="C12" i="249"/>
  <c r="C11" i="249"/>
  <c r="C5" i="249"/>
  <c r="B5" i="249"/>
  <c r="C4" i="249"/>
  <c r="B4" i="249"/>
  <c r="C3" i="249"/>
  <c r="B3" i="249"/>
  <c r="C2" i="249"/>
  <c r="B2" i="249"/>
  <c r="C16" i="248"/>
  <c r="C15" i="248"/>
  <c r="C14" i="248"/>
  <c r="C13" i="248"/>
  <c r="C12" i="248"/>
  <c r="C11" i="248"/>
  <c r="C5" i="248"/>
  <c r="B5" i="248"/>
  <c r="C4" i="248"/>
  <c r="B4" i="248"/>
  <c r="C3" i="248"/>
  <c r="B3" i="248"/>
  <c r="C2" i="248"/>
  <c r="B2" i="248"/>
  <c r="C16" i="247"/>
  <c r="C15" i="247"/>
  <c r="C14" i="247"/>
  <c r="C13" i="247"/>
  <c r="C12" i="247"/>
  <c r="C11" i="247"/>
  <c r="C5" i="247"/>
  <c r="B5" i="247"/>
  <c r="C4" i="247"/>
  <c r="B4" i="247"/>
  <c r="C3" i="247"/>
  <c r="B3" i="247"/>
  <c r="C2" i="247"/>
  <c r="B2" i="247"/>
  <c r="C16" i="246"/>
  <c r="C15" i="246"/>
  <c r="C14" i="246"/>
  <c r="C13" i="246"/>
  <c r="C12" i="246"/>
  <c r="C11" i="246"/>
  <c r="C5" i="246"/>
  <c r="B5" i="246"/>
  <c r="C4" i="246"/>
  <c r="B4" i="246"/>
  <c r="C3" i="246"/>
  <c r="B3" i="246"/>
  <c r="C2" i="246"/>
  <c r="B2" i="246"/>
  <c r="C16" i="245"/>
  <c r="C15" i="245"/>
  <c r="C14" i="245"/>
  <c r="C13" i="245"/>
  <c r="C12" i="245"/>
  <c r="C11" i="245"/>
  <c r="C5" i="245"/>
  <c r="B5" i="245"/>
  <c r="C4" i="245"/>
  <c r="B4" i="245"/>
  <c r="C3" i="245"/>
  <c r="B3" i="245"/>
  <c r="C2" i="245"/>
  <c r="B2" i="245"/>
  <c r="C16" i="244"/>
  <c r="C15" i="244"/>
  <c r="C14" i="244"/>
  <c r="C13" i="244"/>
  <c r="C12" i="244"/>
  <c r="C11" i="244"/>
  <c r="C5" i="244"/>
  <c r="B5" i="244"/>
  <c r="C4" i="244"/>
  <c r="B4" i="244"/>
  <c r="C3" i="244"/>
  <c r="B3" i="244"/>
  <c r="C2" i="244"/>
  <c r="B2" i="244"/>
  <c r="C16" i="243"/>
  <c r="C15" i="243"/>
  <c r="C14" i="243"/>
  <c r="C13" i="243"/>
  <c r="C12" i="243"/>
  <c r="C11" i="243"/>
  <c r="C5" i="243"/>
  <c r="B5" i="243"/>
  <c r="C4" i="243"/>
  <c r="B4" i="243"/>
  <c r="C3" i="243"/>
  <c r="B3" i="243"/>
  <c r="C2" i="243"/>
  <c r="B2" i="243"/>
  <c r="C16" i="242"/>
  <c r="C15" i="242"/>
  <c r="C14" i="242"/>
  <c r="C13" i="242"/>
  <c r="C12" i="242"/>
  <c r="C11" i="242"/>
  <c r="C5" i="242"/>
  <c r="B5" i="242"/>
  <c r="C4" i="242"/>
  <c r="B4" i="242"/>
  <c r="C3" i="242"/>
  <c r="B3" i="242"/>
  <c r="C2" i="242"/>
  <c r="B2" i="242"/>
  <c r="C16" i="241"/>
  <c r="C15" i="241"/>
  <c r="C14" i="241"/>
  <c r="C13" i="241"/>
  <c r="C12" i="241"/>
  <c r="C11" i="241"/>
  <c r="C5" i="241"/>
  <c r="B5" i="241"/>
  <c r="C4" i="241"/>
  <c r="B4" i="241"/>
  <c r="C3" i="241"/>
  <c r="B3" i="241"/>
  <c r="C2" i="241"/>
  <c r="B2" i="241"/>
  <c r="C16" i="240"/>
  <c r="C15" i="240"/>
  <c r="C14" i="240"/>
  <c r="C13" i="240"/>
  <c r="C12" i="240"/>
  <c r="C11" i="240"/>
  <c r="C5" i="240"/>
  <c r="B5" i="240"/>
  <c r="C4" i="240"/>
  <c r="B4" i="240"/>
  <c r="C3" i="240"/>
  <c r="B3" i="240"/>
  <c r="C2" i="240"/>
  <c r="B2" i="240"/>
  <c r="C16" i="239"/>
  <c r="C15" i="239"/>
  <c r="C14" i="239"/>
  <c r="C13" i="239"/>
  <c r="C12" i="239"/>
  <c r="C11" i="239"/>
  <c r="C5" i="239"/>
  <c r="B5" i="239"/>
  <c r="C4" i="239"/>
  <c r="B4" i="239"/>
  <c r="C3" i="239"/>
  <c r="B3" i="239"/>
  <c r="C2" i="239"/>
  <c r="B2" i="239"/>
  <c r="C16" i="238"/>
  <c r="C15" i="238"/>
  <c r="C14" i="238"/>
  <c r="C13" i="238"/>
  <c r="C12" i="238"/>
  <c r="C11" i="238"/>
  <c r="C5" i="238"/>
  <c r="B5" i="238"/>
  <c r="C4" i="238"/>
  <c r="B4" i="238"/>
  <c r="C3" i="238"/>
  <c r="B3" i="238"/>
  <c r="C2" i="238"/>
  <c r="B2" i="238"/>
  <c r="C16" i="237"/>
  <c r="C15" i="237"/>
  <c r="C14" i="237"/>
  <c r="C13" i="237"/>
  <c r="C12" i="237"/>
  <c r="C11" i="237"/>
  <c r="C5" i="237"/>
  <c r="B5" i="237"/>
  <c r="C4" i="237"/>
  <c r="B4" i="237"/>
  <c r="C3" i="237"/>
  <c r="B3" i="237"/>
  <c r="C2" i="237"/>
  <c r="B2" i="237"/>
  <c r="C16" i="236"/>
  <c r="C15" i="236"/>
  <c r="C14" i="236"/>
  <c r="C13" i="236"/>
  <c r="C12" i="236"/>
  <c r="C11" i="236"/>
  <c r="C5" i="236"/>
  <c r="B5" i="236"/>
  <c r="C4" i="236"/>
  <c r="B4" i="236"/>
  <c r="C3" i="236"/>
  <c r="B3" i="236"/>
  <c r="C2" i="236"/>
  <c r="B2" i="236"/>
  <c r="C16" i="235"/>
  <c r="C15" i="235"/>
  <c r="C14" i="235"/>
  <c r="C13" i="235"/>
  <c r="C12" i="235"/>
  <c r="C11" i="235"/>
  <c r="C5" i="235"/>
  <c r="B5" i="235"/>
  <c r="C4" i="235"/>
  <c r="B4" i="235"/>
  <c r="C3" i="235"/>
  <c r="B3" i="235"/>
  <c r="C2" i="235"/>
  <c r="B2" i="235"/>
  <c r="C16" i="234"/>
  <c r="C15" i="234"/>
  <c r="C14" i="234"/>
  <c r="C13" i="234"/>
  <c r="C12" i="234"/>
  <c r="C11" i="234"/>
  <c r="C5" i="234"/>
  <c r="B5" i="234"/>
  <c r="C4" i="234"/>
  <c r="B4" i="234"/>
  <c r="C3" i="234"/>
  <c r="B3" i="234"/>
  <c r="C2" i="234"/>
  <c r="B2" i="234"/>
  <c r="C16" i="233"/>
  <c r="C15" i="233"/>
  <c r="C14" i="233"/>
  <c r="C13" i="233"/>
  <c r="C12" i="233"/>
  <c r="C11" i="233"/>
  <c r="C5" i="233"/>
  <c r="B5" i="233"/>
  <c r="C4" i="233"/>
  <c r="B4" i="233"/>
  <c r="C3" i="233"/>
  <c r="B3" i="233"/>
  <c r="C2" i="233"/>
  <c r="B2" i="233"/>
  <c r="C16" i="232"/>
  <c r="C15" i="232"/>
  <c r="C14" i="232"/>
  <c r="C13" i="232"/>
  <c r="C12" i="232"/>
  <c r="C11" i="232"/>
  <c r="C5" i="232"/>
  <c r="B5" i="232"/>
  <c r="C4" i="232"/>
  <c r="B4" i="232"/>
  <c r="C3" i="232"/>
  <c r="B3" i="232"/>
  <c r="C2" i="232"/>
  <c r="B2" i="232"/>
  <c r="C16" i="231"/>
  <c r="C15" i="231"/>
  <c r="C14" i="231"/>
  <c r="C13" i="231"/>
  <c r="C12" i="231"/>
  <c r="C11" i="231"/>
  <c r="C5" i="231"/>
  <c r="B5" i="231"/>
  <c r="C4" i="231"/>
  <c r="B4" i="231"/>
  <c r="C3" i="231"/>
  <c r="B3" i="231"/>
  <c r="C2" i="231"/>
  <c r="B2" i="231"/>
  <c r="C16" i="230"/>
  <c r="C15" i="230"/>
  <c r="C14" i="230"/>
  <c r="C13" i="230"/>
  <c r="C12" i="230"/>
  <c r="C11" i="230"/>
  <c r="C5" i="230"/>
  <c r="B5" i="230"/>
  <c r="C4" i="230"/>
  <c r="B4" i="230"/>
  <c r="C3" i="230"/>
  <c r="B3" i="230"/>
  <c r="C2" i="230"/>
  <c r="B2" i="230"/>
  <c r="B10" i="278" l="1"/>
  <c r="B7" i="248"/>
  <c r="B7" i="250"/>
  <c r="B7" i="252"/>
  <c r="B7" i="254"/>
  <c r="B7" i="256"/>
  <c r="B7" i="258"/>
  <c r="B7" i="260"/>
  <c r="B7" i="263"/>
  <c r="B7" i="265"/>
  <c r="C7" i="268"/>
  <c r="B7" i="230"/>
  <c r="C7" i="236"/>
  <c r="C7" i="244"/>
  <c r="C7" i="246"/>
  <c r="C7" i="250"/>
  <c r="C7" i="252"/>
  <c r="C7" i="254"/>
  <c r="C7" i="256"/>
  <c r="C7" i="258"/>
  <c r="C7" i="260"/>
  <c r="B7" i="231"/>
  <c r="B7" i="233"/>
  <c r="B7" i="235"/>
  <c r="B7" i="237"/>
  <c r="B7" i="239"/>
  <c r="B7" i="241"/>
  <c r="B7" i="243"/>
  <c r="B7" i="245"/>
  <c r="B7" i="249"/>
  <c r="B7" i="251"/>
  <c r="B7" i="253"/>
  <c r="B7" i="255"/>
  <c r="B7" i="262"/>
  <c r="B7" i="264"/>
  <c r="B7" i="266"/>
  <c r="B7" i="270"/>
  <c r="B7" i="276"/>
  <c r="C7" i="262"/>
  <c r="C7" i="264"/>
  <c r="C7" i="266"/>
  <c r="C17" i="266"/>
  <c r="C7" i="270"/>
  <c r="C7" i="242"/>
  <c r="C17" i="230"/>
  <c r="B7" i="232"/>
  <c r="C17" i="232"/>
  <c r="B7" i="234"/>
  <c r="C17" i="234"/>
  <c r="B7" i="236"/>
  <c r="C17" i="236"/>
  <c r="C17" i="238"/>
  <c r="B7" i="240"/>
  <c r="C17" i="240"/>
  <c r="B7" i="242"/>
  <c r="C17" i="242"/>
  <c r="B7" i="244"/>
  <c r="C17" i="244"/>
  <c r="C17" i="246"/>
  <c r="C17" i="248"/>
  <c r="C17" i="250"/>
  <c r="C17" i="252"/>
  <c r="C17" i="254"/>
  <c r="C17" i="256"/>
  <c r="C17" i="258"/>
  <c r="C17" i="260"/>
  <c r="C17" i="262"/>
  <c r="C17" i="264"/>
  <c r="C17" i="268"/>
  <c r="C17" i="270"/>
  <c r="C17" i="271"/>
  <c r="C17" i="272"/>
  <c r="C17" i="274"/>
  <c r="C17" i="276"/>
  <c r="C17" i="231"/>
  <c r="C17" i="233"/>
  <c r="C17" i="235"/>
  <c r="C17" i="237"/>
  <c r="C17" i="239"/>
  <c r="C17" i="241"/>
  <c r="C17" i="243"/>
  <c r="C17" i="245"/>
  <c r="C17" i="247"/>
  <c r="C17" i="249"/>
  <c r="C17" i="251"/>
  <c r="C17" i="253"/>
  <c r="B7" i="257"/>
  <c r="C17" i="257"/>
  <c r="C17" i="259"/>
  <c r="C17" i="263"/>
  <c r="C17" i="265"/>
  <c r="C17" i="267"/>
  <c r="B7" i="269"/>
  <c r="C17" i="269"/>
  <c r="C17" i="273"/>
  <c r="B7" i="275"/>
  <c r="C17" i="275"/>
  <c r="B7" i="277"/>
  <c r="C17" i="277"/>
  <c r="C7" i="235"/>
  <c r="C7" i="241"/>
  <c r="C7" i="243"/>
  <c r="C7" i="247"/>
  <c r="C7" i="249"/>
  <c r="C7" i="251"/>
  <c r="C7" i="253"/>
  <c r="C7" i="255"/>
  <c r="C17" i="255"/>
  <c r="C7" i="259"/>
  <c r="C7" i="263"/>
  <c r="C7" i="265"/>
  <c r="C7" i="267"/>
  <c r="C7" i="269"/>
  <c r="C7" i="271"/>
  <c r="C7" i="273"/>
  <c r="C7" i="275"/>
  <c r="C7" i="277"/>
  <c r="C7" i="276"/>
  <c r="B7" i="274"/>
  <c r="C7" i="274"/>
  <c r="B7" i="273"/>
  <c r="B7" i="272"/>
  <c r="C7" i="272"/>
  <c r="B7" i="271"/>
  <c r="B7" i="268"/>
  <c r="B7" i="267"/>
  <c r="B7" i="259"/>
  <c r="C7" i="257"/>
  <c r="C7" i="248"/>
  <c r="B7" i="247"/>
  <c r="B7" i="246"/>
  <c r="C7" i="245"/>
  <c r="C7" i="240"/>
  <c r="C7" i="239"/>
  <c r="B7" i="238"/>
  <c r="C7" i="238"/>
  <c r="C7" i="237"/>
  <c r="C7" i="234"/>
  <c r="C7" i="233"/>
  <c r="C7" i="232"/>
  <c r="C7" i="231"/>
  <c r="C7" i="230"/>
  <c r="B7" i="228"/>
  <c r="C7" i="228"/>
  <c r="C17" i="228"/>
  <c r="C5" i="37"/>
  <c r="B5" i="37"/>
  <c r="C4" i="37"/>
  <c r="B4" i="37"/>
  <c r="C3" i="37"/>
  <c r="B3" i="37"/>
  <c r="C2" i="37"/>
  <c r="B2" i="37"/>
  <c r="C11" i="37"/>
  <c r="C12" i="37"/>
  <c r="C13" i="37"/>
  <c r="C14" i="37"/>
  <c r="C15" i="37"/>
  <c r="C16" i="37"/>
  <c r="B10" i="249" l="1"/>
  <c r="B10" i="265"/>
  <c r="B10" i="256"/>
  <c r="B10" i="257"/>
  <c r="B10" i="258"/>
  <c r="B10" i="250"/>
  <c r="B10" i="230"/>
  <c r="B10" i="231"/>
  <c r="B10" i="248"/>
  <c r="B10" i="268"/>
  <c r="B10" i="251"/>
  <c r="B10" i="241"/>
  <c r="B10" i="270"/>
  <c r="B10" i="260"/>
  <c r="B10" i="252"/>
  <c r="B10" i="240"/>
  <c r="B10" i="263"/>
  <c r="B10" i="236"/>
  <c r="B10" i="254"/>
  <c r="B10" i="244"/>
  <c r="B10" i="276"/>
  <c r="B10" i="266"/>
  <c r="B10" i="239"/>
  <c r="B10" i="273"/>
  <c r="B10" i="262"/>
  <c r="B10" i="264"/>
  <c r="B10" i="233"/>
  <c r="B10" i="267"/>
  <c r="B10" i="272"/>
  <c r="B10" i="271"/>
  <c r="B10" i="253"/>
  <c r="B10" i="277"/>
  <c r="B10" i="234"/>
  <c r="B10" i="243"/>
  <c r="B10" i="269"/>
  <c r="B10" i="246"/>
  <c r="B10" i="237"/>
  <c r="B10" i="245"/>
  <c r="B10" i="259"/>
  <c r="B10" i="235"/>
  <c r="B10" i="242"/>
  <c r="B10" i="255"/>
  <c r="B10" i="275"/>
  <c r="B10" i="247"/>
  <c r="B10" i="232"/>
  <c r="B10" i="238"/>
  <c r="B10" i="274"/>
  <c r="C7" i="37"/>
  <c r="C17" i="37"/>
  <c r="B7" i="37"/>
  <c r="B10" i="228"/>
  <c r="C18" i="228" s="1"/>
  <c r="B10" i="37" l="1"/>
</calcChain>
</file>

<file path=xl/sharedStrings.xml><?xml version="1.0" encoding="utf-8"?>
<sst xmlns="http://schemas.openxmlformats.org/spreadsheetml/2006/main" count="3326" uniqueCount="1159">
  <si>
    <t/>
  </si>
  <si>
    <t>Menu</t>
  </si>
  <si>
    <t>Summary</t>
  </si>
  <si>
    <t>File</t>
  </si>
  <si>
    <t>Function</t>
  </si>
  <si>
    <t>Missing Coverage</t>
  </si>
  <si>
    <t>File Coverage</t>
  </si>
  <si>
    <t>Function Coverage</t>
  </si>
  <si>
    <t>Analysis</t>
  </si>
  <si>
    <t>Category</t>
  </si>
  <si>
    <t>Line</t>
  </si>
  <si>
    <t>Total Nodes</t>
  </si>
  <si>
    <t>Hit</t>
  </si>
  <si>
    <t>Total:</t>
  </si>
  <si>
    <t>Statement Blocks</t>
  </si>
  <si>
    <t>Implicit Blocks</t>
  </si>
  <si>
    <t>Basic Conditions</t>
  </si>
  <si>
    <t>Modified Conditions</t>
  </si>
  <si>
    <t>Initially Missed</t>
  </si>
  <si>
    <t>CR - Code</t>
  </si>
  <si>
    <t>CR - Requirement</t>
  </si>
  <si>
    <t>Test Issue</t>
  </si>
  <si>
    <t>Suppl. Testing</t>
  </si>
  <si>
    <t>Analysis - Defensive</t>
  </si>
  <si>
    <t>Analysis - Deactivated</t>
  </si>
  <si>
    <t>Remaining</t>
  </si>
  <si>
    <t>Total</t>
  </si>
  <si>
    <t>bpcu\ABORTAIR2GNDOPTST.csv</t>
  </si>
  <si>
    <t>bpcu\ABORTEPOPTST.csv</t>
  </si>
  <si>
    <t>bpcu\ABORTPWRUPOPTST.csv</t>
  </si>
  <si>
    <t>bpcu\ACBE_GENTESTLOAD.csv</t>
  </si>
  <si>
    <t>bpcu\ACBE_LOGIC.csv</t>
  </si>
  <si>
    <t>bpcu\ACINTERLOCK.csv</t>
  </si>
  <si>
    <t>bpcu\ACPWRDOWN.csv</t>
  </si>
  <si>
    <t>bpcu\ADJATUBUSSRCVALID.csv</t>
  </si>
  <si>
    <t>bpcu\ADJBSB.csv</t>
  </si>
  <si>
    <t>bpcu\ADJBSB_CONTROL.csv</t>
  </si>
  <si>
    <t>bpcu\ADJBSBFTCPROTECTION.csv</t>
  </si>
  <si>
    <t>bpcu\ADJIT.csv</t>
  </si>
  <si>
    <t>bpcu\ADJTRURLY.csv</t>
  </si>
  <si>
    <t>bpcu\ADJTRURLYFTCPROTECTION.csv</t>
  </si>
  <si>
    <t>bpcu\AFSR_CALLBACK.csv</t>
  </si>
  <si>
    <t>bpcu\AIR2GNDOPTST.csv</t>
  </si>
  <si>
    <t>bpcu\AIR2GNDOPTSTMODE1.csv</t>
  </si>
  <si>
    <t>bpcu\AIR2GNDOPTSTMODE1_ADJIT.csv</t>
  </si>
  <si>
    <t>bpcu\AIR2GNDOPTSTMODE1_BTB.csv</t>
  </si>
  <si>
    <t>bpcu\AIR2GNDOPTSTMODE1_DCT.csv</t>
  </si>
  <si>
    <t>bpcu\AIR2GNDOPTSTMODE1_HOTBATTERYFEEDFET.csv</t>
  </si>
  <si>
    <t>bpcu\AIR2GNDOPTSTMODE2.csv</t>
  </si>
  <si>
    <t>bpcu\AIR2GNDOPTSTMODE2_FAN1.csv</t>
  </si>
  <si>
    <t>bpcu\AIR2GNDOPTSTMODE2_FAN2.csv</t>
  </si>
  <si>
    <t>bpcu\AIR2GNDOPTSTTOPLEVEL.csv</t>
  </si>
  <si>
    <t>bpcu\ANY_LRUFAILED.csv</t>
  </si>
  <si>
    <t>bpcu\ATUBUS_PATH.csv</t>
  </si>
  <si>
    <t>bpcu\ATUBUS_XFERMODES.csv</t>
  </si>
  <si>
    <t>bpcu\ATUBUS_XFERSTATE.csv</t>
  </si>
  <si>
    <t>bpcu\ATUBUS_XFERSTATUS.csv</t>
  </si>
  <si>
    <t>bpcu\ATUBUSXFER_ENGINE.csv</t>
  </si>
  <si>
    <t>bpcu\ATUDPPROTECTION.csv</t>
  </si>
  <si>
    <t>bpcu\BACKUPBUS.csv</t>
  </si>
  <si>
    <t>bpcu\BACKUPBUS_PATH.csv</t>
  </si>
  <si>
    <t>bpcu\BACKUPBUS_XFERFAILED.csv</t>
  </si>
  <si>
    <t>bpcu\BACKUPBUS_XFERMODES.csv</t>
  </si>
  <si>
    <t>bpcu\BACKUPBUS_XFERSTATE.csv</t>
  </si>
  <si>
    <t>bpcu\BACKUPBUS_XFERSTATUS.csv</t>
  </si>
  <si>
    <t>bpcu\BACKUPBUSCURRSRCPATH.csv</t>
  </si>
  <si>
    <t>bpcu\BACKUPBUSRAWTARSRCPATH.csv</t>
  </si>
  <si>
    <t>bpcu\BACKUPBUSSTATE.csv</t>
  </si>
  <si>
    <t>bpcu\BACKUPBUSTARSRCPATH.csv</t>
  </si>
  <si>
    <t>bpcu\BACKUPBUSXFER.csv</t>
  </si>
  <si>
    <t>bpcu\BACKUPBUSXFER_ENGINE.csv</t>
  </si>
  <si>
    <t>bpcu\BACKUPBUSXFER_MANAGER.csv</t>
  </si>
  <si>
    <t>bpcu\BATTERYMONITOR.csv</t>
  </si>
  <si>
    <t>bpcu\BBISOFTCPROTECTION.csv</t>
  </si>
  <si>
    <t>bpcu\BBISORLY.csv</t>
  </si>
  <si>
    <t>bpcu\BBRLY.csv</t>
  </si>
  <si>
    <t>bpcu\BITE_BPCU_DATA_REDUCTION.csv</t>
  </si>
  <si>
    <t>bpcu\BITE_EXECUTIVE.csv</t>
  </si>
  <si>
    <t>bpcu\BITE_UPDATE_SOFTWARE_HOOKS.csv</t>
  </si>
  <si>
    <t>bpcu\BITE_VALIDITYCOM.csv</t>
  </si>
  <si>
    <t>bpcu\BPCU_DATA_REDUCTION.csv</t>
  </si>
  <si>
    <t>bpcu\BPCU_EICAS.csv</t>
  </si>
  <si>
    <t>bpcu\BPCU_MAIN.csv</t>
  </si>
  <si>
    <t>bpcu\BPCU_POWER_TRANSFER.csv</t>
  </si>
  <si>
    <t>bpcu\BPCU_PWRUP_OPTSTS.csv</t>
  </si>
  <si>
    <t>bpcu\BPCU_PWRUP_OPTSTS_OUTPUT_DRIVERS.csv</t>
  </si>
  <si>
    <t>bpcu\BPCU_PWRUP_OPTSTS_SOFTCAL_PROCESSING.csv</t>
  </si>
  <si>
    <t>bpcu\BPCU_PWRUP_OPTSTS_TOPLEVEL.csv</t>
  </si>
  <si>
    <t>bpcu\BPCUCONTROL.csv</t>
  </si>
  <si>
    <t>bpcu\BPCUENGINESTART.csv</t>
  </si>
  <si>
    <t>bpcu\BPCUFTOPROTECTIONS.csv</t>
  </si>
  <si>
    <t>bpcu\BPCUINPUTPROCESSING.csv</t>
  </si>
  <si>
    <t>bpcu\BPCULOADMANAGEMENT_APUOL.csv</t>
  </si>
  <si>
    <t>bpcu\BPCULOADMANAGEMENT_APUOL_LMAPUHYDRUNSTOPCONDOLIDATOR.csv</t>
  </si>
  <si>
    <t>bpcu\BPCULOADMANAGEMENT_ASGOL.csv</t>
  </si>
  <si>
    <t>bpcu\BPCULOADMANAGEMENT_ATRUOL.csv</t>
  </si>
  <si>
    <t>bpcu\BPCULOADMANAGEMENT_ATRUOL_ATRUOVERLOAD_787_9_10.csv</t>
  </si>
  <si>
    <t>bpcu\BPCULOADMANAGEMENT_ATRUOL_BPCUATRUOVERLOAD.csv</t>
  </si>
  <si>
    <t>bpcu\BPCULOADMANAGEMENT_CACTCS.csv</t>
  </si>
  <si>
    <t>bpcu\BPCULOADMANAGEMENT_HPX.csv</t>
  </si>
  <si>
    <t>bpcu\BPCULOADMANAGEMENT_HYDRAULICS.csv</t>
  </si>
  <si>
    <t>bpcu\BPCULOADMANAGEMENT_ICS.csv</t>
  </si>
  <si>
    <t>bpcu\BPCULOADMANAGEMENT_MES.csv</t>
  </si>
  <si>
    <t>bpcu\BPCULOADMANAGEMENT_PT.csv</t>
  </si>
  <si>
    <t>bpcu\BPCULOADMANAGEMENT_PT_LMPTONESHOT.csv</t>
  </si>
  <si>
    <t>bpcu\BPCULOADMANAGEMENT_PT_LMPTONESHOT_E.csv</t>
  </si>
  <si>
    <t>bpcu\BPCULOADMANAGEMENT_RESTORETRIGGERS.csv</t>
  </si>
  <si>
    <t>bpcu\BPCULOADMANAGEMENT_VFSGOL.csv</t>
  </si>
  <si>
    <t>bpcu\BPCULOADMANAGEMENT_VFSGOL_LMVFSGOLWIPSPSCCONSOLIDATOR.csv</t>
  </si>
  <si>
    <t>bpcu\BPCULOADMANAGEMENT2.csv</t>
  </si>
  <si>
    <t>bpcu\BPCULOADMANAGEMENT2_HIGHPOWERFUELCUTOFF.csv</t>
  </si>
  <si>
    <t>bpcu\BPCULOADMANAGEMENT2_LM_CACRUNSTOPCMDCONSOLIDATE.csv</t>
  </si>
  <si>
    <t>bpcu\BPCUMAINTENANCE.csv</t>
  </si>
  <si>
    <t>bpcu\BPCUOUTPUTPROCESSING.csv</t>
  </si>
  <si>
    <t>bpcu\BPCUPROTECTION.csv</t>
  </si>
  <si>
    <t>bpcu\BPCUSOFTCALIBRATION.csv</t>
  </si>
  <si>
    <t>bpcu\BPCUSOFTCALPROCESSING.csv</t>
  </si>
  <si>
    <t>bpcu\BPCUTOPLEVEL.csv</t>
  </si>
  <si>
    <t>bpcu\BPCUVFSGDISCONNECT.csv</t>
  </si>
  <si>
    <t>bpcu\BTB.csv</t>
  </si>
  <si>
    <t>bpcu\BTBFTCPROTECTION.csv</t>
  </si>
  <si>
    <t>bpcu\C1TRUISORLY.csv</t>
  </si>
  <si>
    <t>bpcu\C1TRUISORLY_CONTROL.csv</t>
  </si>
  <si>
    <t>bpcu\C1TRUISORLYFTCPROTECTION.csv</t>
  </si>
  <si>
    <t>bpcu\C1TRUOCPROTECTION.csv</t>
  </si>
  <si>
    <t>bpcu\C1TRURLY.csv</t>
  </si>
  <si>
    <t>bpcu\C1TRURLY_ALTERNATEPATH.csv</t>
  </si>
  <si>
    <t>bpcu\C1TRURLY_CONTROL.csv</t>
  </si>
  <si>
    <t>bpcu\C1TRURLYFTCPROTECTION.csv</t>
  </si>
  <si>
    <t>bpcu\C2TRUOCPROTECTION.csv</t>
  </si>
  <si>
    <t>bpcu\CBMATRIXUPDATE.csv</t>
  </si>
  <si>
    <t>bpcu\CHATTERPROTECTION.csv</t>
  </si>
  <si>
    <t>bpcu\CIT_CONTROL.csv</t>
  </si>
  <si>
    <t>bpcu\CPTFODCTIEBUSOCPROTECTION.csv</t>
  </si>
  <si>
    <t>bpcu\DCBUSCFER_ENGINE.csv</t>
  </si>
  <si>
    <t>bpcu\DCT.csv</t>
  </si>
  <si>
    <t>bpcu\DCTFTCPROTECTION.csv</t>
  </si>
  <si>
    <t>bpcu\DEBOUNCE_BACKUPBUSRAWTARSRCPATH.csv</t>
  </si>
  <si>
    <t>bpcu\DEBOUNCE_OWNATUBUSRAWTARSRC.csv</t>
  </si>
  <si>
    <t>bpcu\DETERMINE_AIRCRAFTMODE.csv</t>
  </si>
  <si>
    <t>bpcu\DETERMINE_AIRCRAFTMODE_LIBRARY.csv</t>
  </si>
  <si>
    <t>bpcu\DETERMINE_EPONLYENGINESTARTTYPE.csv</t>
  </si>
  <si>
    <t>bpcu\DETERMINE_PWRXFERSYSMODE.csv</t>
  </si>
  <si>
    <t>bpcu\DETERMINE_SYSXFESTATE.csv</t>
  </si>
  <si>
    <t>bpcu\EICAS115BUSISLNSTATUS.csv</t>
  </si>
  <si>
    <t>bpcu\EICAS115BUSSTATUS.csv</t>
  </si>
  <si>
    <t>bpcu\EICAS28VDCSTATUS.csv</t>
  </si>
  <si>
    <t>bpcu\EICASAPUBATTSTATUS.csv</t>
  </si>
  <si>
    <t>bpcu\EICASBACKUPBUSSTATUS.csv</t>
  </si>
  <si>
    <t>bpcu\EICASDCBUSSTATUS.csv</t>
  </si>
  <si>
    <t>bpcu\EICASELECATUSTATUS.csv</t>
  </si>
  <si>
    <t>bpcu\EICASELECPWRCTRLUNITSTATUS.csv</t>
  </si>
  <si>
    <t>bpcu\EICASELECSTANDBYSYSADV.csv</t>
  </si>
  <si>
    <t>bpcu\EICASELECTRUSTATUS.csv</t>
  </si>
  <si>
    <t>bpcu\EICASENGSTARTERSADV.csv</t>
  </si>
  <si>
    <t>bpcu\EICASFLTINSTBUSSTATUS.csv</t>
  </si>
  <si>
    <t>bpcu\EICASHOTBATTSTATUS.csv</t>
  </si>
  <si>
    <t>bpcu\EICASMAINBATTADV.csv</t>
  </si>
  <si>
    <t>bpcu\EICASMAINBATTSTATUS.csv</t>
  </si>
  <si>
    <t>bpcu\EICASNONESSSWADV.csv</t>
  </si>
  <si>
    <t>bpcu\EICASSTARTERSTATUS.csv</t>
  </si>
  <si>
    <t>bpcu\EICASSYSCTRLENBLSTATUS.csv</t>
  </si>
  <si>
    <t>bpcu\ELCUBSBTRIP.csv</t>
  </si>
  <si>
    <t>bpcu\ELCUCOORDINATION.csv</t>
  </si>
  <si>
    <t>bpcu\EPCFTCPROTECTION.csv</t>
  </si>
  <si>
    <t>bpcu\EPFREQUENCYDEBOUNCE.csv</t>
  </si>
  <si>
    <t>bpcu\EPOC2PROTECTION.csv</t>
  </si>
  <si>
    <t>bpcu\EPOCPROTECTION.csv</t>
  </si>
  <si>
    <t>bpcu\EPOFPROTECTION.csv</t>
  </si>
  <si>
    <t>bpcu\EPONLYENGINESTARTTYPE_LIBRARY.csv</t>
  </si>
  <si>
    <t>bpcu\EPONLYMESR115BUSRECONFIG.csv</t>
  </si>
  <si>
    <t>bpcu\EPOPENPHASEPROTECTION.csv</t>
  </si>
  <si>
    <t>bpcu\EPOPTST.csv</t>
  </si>
  <si>
    <t>bpcu\EPOPTSTMODE1.csv</t>
  </si>
  <si>
    <t>bpcu\EPOPTSTMODE1_ADJIT.csv</t>
  </si>
  <si>
    <t>bpcu\EPOPTSTMODE1_HOTBATTERYFEEDFET.csv</t>
  </si>
  <si>
    <t>bpcu\EPOPTSTMODE1_MBR.csv</t>
  </si>
  <si>
    <t>bpcu\EPOPTSTMODE1_OPPIT.csv</t>
  </si>
  <si>
    <t>bpcu\EPOPTSTMODE2.csv</t>
  </si>
  <si>
    <t>bpcu\EPOPTSTMODE2_FAN1.csv</t>
  </si>
  <si>
    <t>bpcu\EPOPTSTMODE2_FAN2.csv</t>
  </si>
  <si>
    <t>bpcu\EPOPTSTTOPLEVEL.csv</t>
  </si>
  <si>
    <t>bpcu\EPOVPROTECTION.csv</t>
  </si>
  <si>
    <t>bpcu\EPPHSEQPROTECTION.csv</t>
  </si>
  <si>
    <t>bpcu\EPPROTECTIONFLTLTCH.csv</t>
  </si>
  <si>
    <t>bpcu\EPSSWITCH.csv</t>
  </si>
  <si>
    <t>bpcu\EPUFPROTECTION.csv</t>
  </si>
  <si>
    <t>bpcu\EPUVPROTECTION.csv</t>
  </si>
  <si>
    <t>bpcu\ES_AESMODECOMMAND_EPCONNECTED.csv</t>
  </si>
  <si>
    <t>bpcu\ES_APUAUTOSTART.csv</t>
  </si>
  <si>
    <t>bpcu\ES_APUDATEMODE.csv</t>
  </si>
  <si>
    <t>bpcu\ES_CACAESMODE.csv</t>
  </si>
  <si>
    <t>bpcu\ES_GCUMODECOMMANDS.csv</t>
  </si>
  <si>
    <t>bpcu\ES_L1CACMESMODE.csv</t>
  </si>
  <si>
    <t>bpcu\ES_L2CACMESMODE.csv</t>
  </si>
  <si>
    <t>bpcu\ES_MESCONFIG.csv</t>
  </si>
  <si>
    <t>bpcu\ES_MESCONFIG_LMESPOWERINVALID.csv</t>
  </si>
  <si>
    <t>bpcu\ES_MESCONFIG_MESSOURCECHANGE.csv</t>
  </si>
  <si>
    <t>bpcu\ES_MESCONFIG_RMESPOWERINVALID.csv</t>
  </si>
  <si>
    <t>bpcu\ES_NOCMDMODECOMMAND.csv</t>
  </si>
  <si>
    <t>bpcu\ES_R1CACMESMODE.csv</t>
  </si>
  <si>
    <t>bpcu\ES_R2CACMESMODE.csv</t>
  </si>
  <si>
    <t>bpcu\ES_SIMULTANEOUSMESALLOWED.csv</t>
  </si>
  <si>
    <t>bpcu\ES_SOURCEAVAILABILITY.csv</t>
  </si>
  <si>
    <t>bpcu\ES_STARTCONFIGURATION.csv</t>
  </si>
  <si>
    <t>bpcu\ESICRESETS.csv</t>
  </si>
  <si>
    <t>bpcu\FAILSAFE_CONTACTOR_CONTROL.csv</t>
  </si>
  <si>
    <t>bpcu\FANCONTROL.csv</t>
  </si>
  <si>
    <t>bpcu\FANMONITOR.csv</t>
  </si>
  <si>
    <t>bpcu\FEP_POWER_AVAILABILITY.csv</t>
  </si>
  <si>
    <t>bpcu\FEPC.csv</t>
  </si>
  <si>
    <t>bpcu\FEPCRECEPTLAMP.csv</t>
  </si>
  <si>
    <t>bpcu\FEPCSWTLAMP.csv</t>
  </si>
  <si>
    <t>bpcu\FIT_CONTROL.csv</t>
  </si>
  <si>
    <t>bpcu\GET_FEPCOMMANDEDONSTATE.csv</t>
  </si>
  <si>
    <t>bpcu\GET_SYSCONTACTORSTATE.csv</t>
  </si>
  <si>
    <t>bpcu\GET_SYSCONTACTORSTATUS.csv</t>
  </si>
  <si>
    <t>bpcu\GROUNDHANDLINGMODE.csv</t>
  </si>
  <si>
    <t>bpcu\INHIBITAIR2GNDOPTST.csv</t>
  </si>
  <si>
    <t>bpcu\INHIBITEPOPTST.csv</t>
  </si>
  <si>
    <t>bpcu\INHIBITPWRUPOPTST.csv</t>
  </si>
  <si>
    <t>bpcu\INHIBITPWRXFER.csv</t>
  </si>
  <si>
    <t>bpcu\INSTBUSXFER_ENGINE.csv</t>
  </si>
  <si>
    <t>bpcu\IS_ASGONLYSRC.csv</t>
  </si>
  <si>
    <t>bpcu\IS_EPONLYMESRECONFIGURATION.csv</t>
  </si>
  <si>
    <t>bpcu\IS_INSTBUSESPWRSRCADJCTRU.csv</t>
  </si>
  <si>
    <t>bpcu\IS_PRIMARYSTANDBYINHIBIT.csv</t>
  </si>
  <si>
    <t>bpcu\L1BUSSRCVALID.csv</t>
  </si>
  <si>
    <t>bpcu\LATUBUSSRCVALID.csv</t>
  </si>
  <si>
    <t>bpcu\LDCT_CONTROL.csv</t>
  </si>
  <si>
    <t>bpcu\LMAIRCRAFTMODE.csv</t>
  </si>
  <si>
    <t>bpcu\LMAPUCAPACITY.csv</t>
  </si>
  <si>
    <t>bpcu\LMAPUEGT.csv</t>
  </si>
  <si>
    <t>bpcu\LMAPUENGSTART.csv</t>
  </si>
  <si>
    <t>bpcu\LMAPUINFLIGHTOVERLOADS.csv</t>
  </si>
  <si>
    <t>bpcu\LMAPUOLCACPWRAVAILCONSOLIDATOR.csv</t>
  </si>
  <si>
    <t>bpcu\LMAPUOLCACRSCONSOLIDATOR.csv</t>
  </si>
  <si>
    <t>bpcu\LMAPUONLYFLIGHT.csv</t>
  </si>
  <si>
    <t>bpcu\LMAPUOVERLOAD.csv</t>
  </si>
  <si>
    <t>bpcu\LMAPUPWRINGMULTIBUSINAIROL.csv</t>
  </si>
  <si>
    <t>bpcu\LMASGOVERLOAD.csv</t>
  </si>
  <si>
    <t>bpcu\LMASGOVERLOADCONSOLIDATOR.csv</t>
  </si>
  <si>
    <t>bpcu\LMASGOVERLOADLIBLR.csv</t>
  </si>
  <si>
    <t>bpcu\LMATRUCCONTROL.csv</t>
  </si>
  <si>
    <t>bpcu\LMATRUOVERLOAD.csv</t>
  </si>
  <si>
    <t>bpcu\LMATUOVERLOAD.csv</t>
  </si>
  <si>
    <t>bpcu\LMATUTRULOC.csv</t>
  </si>
  <si>
    <t>bpcu\LMAUTOGAP.csv</t>
  </si>
  <si>
    <t>bpcu\LMBATTERYONLYGROUND.csv</t>
  </si>
  <si>
    <t>bpcu\LMBATTERYREFUELING.csv</t>
  </si>
  <si>
    <t>bpcu\LMCACHYDRUNSTOPCMDCONSOLIDATE.csv</t>
  </si>
  <si>
    <t>bpcu\LMCACLOADSHED.csv</t>
  </si>
  <si>
    <t>bpcu\LMCACMCRUNSTOPCMDCONSOLIDATE.csv</t>
  </si>
  <si>
    <t>bpcu\LMCACPOWERAVAILABLE.csv</t>
  </si>
  <si>
    <t>bpcu\LMCACPWRAVAILCONSOLIDATE.csv</t>
  </si>
  <si>
    <t>bpcu\LMCACSTOPREOCCURANCE.csv</t>
  </si>
  <si>
    <t>bpcu\LMCACTCS.csv</t>
  </si>
  <si>
    <t>bpcu\LMCALCULATEGPUCURRENTLIMITS.csv</t>
  </si>
  <si>
    <t>bpcu\LMCARGOFIRE.csv</t>
  </si>
  <si>
    <t>bpcu\LMCMSCLSMBITCONSOLIDATOR.csv</t>
  </si>
  <si>
    <t>bpcu\LMCONSOLIDATEMISCCMDS.csv</t>
  </si>
  <si>
    <t>bpcu\LMECSFANS.csv</t>
  </si>
  <si>
    <t>bpcu\LMENGINEDYNAMICLOADLIMIT.csv</t>
  </si>
  <si>
    <t>bpcu\LMENGINEHPXLOADLIMITCONSOLIDATOR.csv</t>
  </si>
  <si>
    <t>bpcu\LMENGINEOVERLOAD.csv</t>
  </si>
  <si>
    <t>bpcu\LMENGINEOVERLOADRESPONSE.csv</t>
  </si>
  <si>
    <t>bpcu\LMEPCACPWRAVAIL.csv</t>
  </si>
  <si>
    <t>bpcu\LMEPCACPWRAVAILCONSOLIDATOR.csv</t>
  </si>
  <si>
    <t>bpcu\LMEPOVERLOAD.csv</t>
  </si>
  <si>
    <t>bpcu\LMEPRESTORE.csv</t>
  </si>
  <si>
    <t>bpcu\LMEXTERNALPOWERSTATUS.csv</t>
  </si>
  <si>
    <t>bpcu\LMFLAPSANDSLATSINMOTION.csv</t>
  </si>
  <si>
    <t>bpcu\LMFUEL.csv</t>
  </si>
  <si>
    <t>bpcu\LMGPUOLCACPWRAVAILCONSOLIDATOR.csv</t>
  </si>
  <si>
    <t>bpcu\LMGPUOVERLOAD.csv</t>
  </si>
  <si>
    <t>bpcu\LMGROUNDHANDLING.csv</t>
  </si>
  <si>
    <t>bpcu\LMHIGHIDLEREQUESTCONSOLIDATOR.csv</t>
  </si>
  <si>
    <t>bpcu\LMHIGHPOWERFUELCUTOFF.csv</t>
  </si>
  <si>
    <t>bpcu\LMHPXCACPWRAVAILCONSOLIDATOR.csv</t>
  </si>
  <si>
    <t>bpcu\LMHYDRAULICS.csv</t>
  </si>
  <si>
    <t>bpcu\LMICS.csv</t>
  </si>
  <si>
    <t>bpcu\LMICSPSCONSOLIDATION.csv</t>
  </si>
  <si>
    <t>bpcu\LMLOSSOFATUTRU.csv</t>
  </si>
  <si>
    <t>bpcu\LMLOSSOFCURRENTDATA.csv</t>
  </si>
  <si>
    <t>bpcu\LMLOSSOFNETWORKDATA.csv</t>
  </si>
  <si>
    <t>bpcu\LMLSMBITCONSOLIDATE.csv</t>
  </si>
  <si>
    <t>bpcu\LMMAINENGINESHEDFORHPX.csv</t>
  </si>
  <si>
    <t>bpcu\LMMAINENGINESTART.csv</t>
  </si>
  <si>
    <t>bpcu\LMMAINENGINESTARTINAIR.csv</t>
  </si>
  <si>
    <t>bpcu\LMMAINENGINESTARTONGND.csv</t>
  </si>
  <si>
    <t>bpcu\LMMAINTENANCEMODERESTORE.csv</t>
  </si>
  <si>
    <t>bpcu\LMNGS.csv</t>
  </si>
  <si>
    <t>bpcu\LMNGSPSCONSOLIDATION.csv</t>
  </si>
  <si>
    <t>bpcu\LMONGROUND400HZ.csv</t>
  </si>
  <si>
    <t>bpcu\LMPOWERTRANSFERS.csv</t>
  </si>
  <si>
    <t>bpcu\LMPRIORITYLISTMODES.csv</t>
  </si>
  <si>
    <t>bpcu\LMPRIORITYLISTRESTORETIMER.csv</t>
  </si>
  <si>
    <t>bpcu\LMPT_SENDCACRAW.csv</t>
  </si>
  <si>
    <t>bpcu\LMPTADDFINDEPCONFIGPTRLIB.csv</t>
  </si>
  <si>
    <t>bpcu\LMPTFINDEPCONFIGPTRLIB.csv</t>
  </si>
  <si>
    <t>bpcu\LMRESTORELATCHEDSHEDS.csv</t>
  </si>
  <si>
    <t>bpcu\LMRESTORETRIGGERS.csv</t>
  </si>
  <si>
    <t>bpcu\LMSELECTCALCULATEDCACPWRAVAILEP.csv</t>
  </si>
  <si>
    <t>bpcu\LMSETCURRENTSOURCE.csv</t>
  </si>
  <si>
    <t>bpcu\LMSINGLEVFSGFLIGHT.csv</t>
  </si>
  <si>
    <t>bpcu\LMSINGLEVFSGOVERLOAD.csv</t>
  </si>
  <si>
    <t>bpcu\LMSMOKECLEARING.csv</t>
  </si>
  <si>
    <t>bpcu\LMSOURCEAVAILABILITY.csv</t>
  </si>
  <si>
    <t>bpcu\LMSTANDBYMODE.csv</t>
  </si>
  <si>
    <t>bpcu\LMSUBSEQUENTHPXONGROUND.csv</t>
  </si>
  <si>
    <t>bpcu\LMTRUOVERLOAD.csv</t>
  </si>
  <si>
    <t>bpcu\LMVFSGLOADFAST.csv</t>
  </si>
  <si>
    <t>bpcu\LMVFSGOVERLOAD.csv</t>
  </si>
  <si>
    <t>bpcu\LMWHOSOURCESBUSES.csv</t>
  </si>
  <si>
    <t>bpcu\LMWIPSCYCLEREOCCURANCE.csv</t>
  </si>
  <si>
    <t>bpcu\LMWIPSLOSSOFENGINE.csv</t>
  </si>
  <si>
    <t>bpcu\LMWIPSPSCONSOLIDATION.csv</t>
  </si>
  <si>
    <t>bpcu\LMWIPSSHEDMODECONSOLIDATION.csv</t>
  </si>
  <si>
    <t>bpcu\LRATUBUSSTATE.csv</t>
  </si>
  <si>
    <t>bpcu\LRBTB_CONTROL.csv</t>
  </si>
  <si>
    <t>bpcu\LTRURLY_CONTROL.csv</t>
  </si>
  <si>
    <t>bpcu\MAINDCBUSOCPROTECTION.csv</t>
  </si>
  <si>
    <t>bpcu\MAINTATUTRU.csv</t>
  </si>
  <si>
    <t>bpcu\MAINTBATTERY.csv</t>
  </si>
  <si>
    <t>bpcu\MAINTDISCRETE.csv</t>
  </si>
  <si>
    <t>bpcu\MAINTENANCEMODE.csv</t>
  </si>
  <si>
    <t>bpcu\MAINTEP.csv</t>
  </si>
  <si>
    <t>bpcu\MAINTLMSYNOPTIC.csv</t>
  </si>
  <si>
    <t>bpcu\MAINTNORMMODE.csv</t>
  </si>
  <si>
    <t>bpcu\MAINTRAT.csv</t>
  </si>
  <si>
    <t>bpcu\MASTERSLAVE_AIRCRAFTMODE.csv</t>
  </si>
  <si>
    <t>bpcu\MBR.csv</t>
  </si>
  <si>
    <t>bpcu\MBR_CONTROL.csv</t>
  </si>
  <si>
    <t>bpcu\MULTITAPFTO.csv</t>
  </si>
  <si>
    <t>bpcu\MULTITAPRELAYS.csv</t>
  </si>
  <si>
    <t>bpcu\NEWV235SRCSELECTED.csv</t>
  </si>
  <si>
    <t>bpcu\NVM_SNAPSHOTTRIGGER.csv</t>
  </si>
  <si>
    <t>bpcu\OPERATIONALTESTS.csv</t>
  </si>
  <si>
    <t>bpcu\OPPATUBUSSRCVALID.csv</t>
  </si>
  <si>
    <t>bpcu\OPPBPCUFAILSAFE.csv</t>
  </si>
  <si>
    <t>bpcu\OPPBSB.csv</t>
  </si>
  <si>
    <t>bpcu\OPPBSBFTCPROTECTION.csv</t>
  </si>
  <si>
    <t>bpcu\OPPFWDEPSRCSTATE.csv</t>
  </si>
  <si>
    <t>bpcu\OPPIT.csv</t>
  </si>
  <si>
    <t>bpcu\OPPTRURLY.csv</t>
  </si>
  <si>
    <t>bpcu\OPPTRURLYFTCPROTECTION.csv</t>
  </si>
  <si>
    <t>bpcu\OSX_POSTINITFUNC.csv</t>
  </si>
  <si>
    <t>bpcu\OUTPUT_ACTUATION.csv</t>
  </si>
  <si>
    <t>bpcu\OWN115BUS.csv</t>
  </si>
  <si>
    <t>bpcu\OWN115BUSCURRSRC.csv</t>
  </si>
  <si>
    <t>bpcu\OWN115BUSSTATE.csv</t>
  </si>
  <si>
    <t>bpcu\OWN115BUSTARSRC.csv</t>
  </si>
  <si>
    <t>bpcu\OWN115BUSXFER_MANAGER.csv</t>
  </si>
  <si>
    <t>bpcu\OWNATUBUS.csv</t>
  </si>
  <si>
    <t>bpcu\OWNATUBUSCURRSRC.csv</t>
  </si>
  <si>
    <t>bpcu\OWNATUBUSRAWTARSRC.csv</t>
  </si>
  <si>
    <t>bpcu\OWNATUBUSSTATE.csv</t>
  </si>
  <si>
    <t>bpcu\OWNATUBUSTARSRC.csv</t>
  </si>
  <si>
    <t>bpcu\OWNATUBUSXFER.csv</t>
  </si>
  <si>
    <t>bpcu\OWNATUBUSXFER_MANAGER.csv</t>
  </si>
  <si>
    <t>bpcu\OWNFWDEPSRCSTATE.csv</t>
  </si>
  <si>
    <t>bpcu\PERFORM_ATUBUSXFER.csv</t>
  </si>
  <si>
    <t>bpcu\PERFORM_BACKUPBUSXFER.csv</t>
  </si>
  <si>
    <t>bpcu\PROT_NON_RETRIG_FALLING_EDGE_ONESHOTTD.csv</t>
  </si>
  <si>
    <t>bpcu\PWRUP_OPTSTS_BITE_EXECUTIVE.csv</t>
  </si>
  <si>
    <t>bpcu\PWRUPOPTST.csv</t>
  </si>
  <si>
    <t>bpcu\PWRUPOPTSTBBISORLYCONTACTORDRIVER.csv</t>
  </si>
  <si>
    <t>bpcu\PWRUPOPTSTBTBCONTACTORDRIVER.csv</t>
  </si>
  <si>
    <t>bpcu\PWRUPOPTSTC1TRURLYCONTACTORDRIVER.csv</t>
  </si>
  <si>
    <t>bpcu\PWRUPOPTSTCONTINUOUS.csv</t>
  </si>
  <si>
    <t>bpcu\PWRUPOPTSTCONTINUOUSTOPLEVEL.csv</t>
  </si>
  <si>
    <t>bpcu\PWRUPOPTSTDCTCONTACTORDRIVER.csv</t>
  </si>
  <si>
    <t>bpcu\PWRUPOPTSTMODE1.csv</t>
  </si>
  <si>
    <t>bpcu\PWRUPOPTSTMODE1_BBISORLY.csv</t>
  </si>
  <si>
    <t>bpcu\PWRUPOPTSTMODE1_BTB.csv</t>
  </si>
  <si>
    <t>bpcu\PWRUPOPTSTMODE1_C1TRUISORLY.csv</t>
  </si>
  <si>
    <t>bpcu\PWRUPOPTSTMODE1_C1TRURLY.csv</t>
  </si>
  <si>
    <t>bpcu\PWRUPOPTSTMODE1_DCT.csv</t>
  </si>
  <si>
    <t>bpcu\PWRUPOPTSTMODE4.csv</t>
  </si>
  <si>
    <t>bpcu\PWRUPOPTSTMODE4_ADJBSBRLY.csv</t>
  </si>
  <si>
    <t>bpcu\PWRUPOPTSTMODE4_ADJTRURLY.csv</t>
  </si>
  <si>
    <t>bpcu\PWRUPOPTSTMODE4_C1TRUISORLY.csv</t>
  </si>
  <si>
    <t>bpcu\R2BUSSRCVALID.csv</t>
  </si>
  <si>
    <t>bpcu\RCB.csv</t>
  </si>
  <si>
    <t>bpcu\RDCT_CONTROL.csv</t>
  </si>
  <si>
    <t>bpcu\RECONFIGSTATUS.csv</t>
  </si>
  <si>
    <t>bpcu\RISINGEDGETIMEDELAY.csv</t>
  </si>
  <si>
    <t>bpcu\RTRURLY_CONTROL.csv</t>
  </si>
  <si>
    <t>bpcu\SELECT_INPUTS.csv</t>
  </si>
  <si>
    <t>bpcu\SELECTOUTPUTS.csv</t>
  </si>
  <si>
    <t>bpcu\SET_SECONDARYSTANDBYINHIBIT.csv</t>
  </si>
  <si>
    <t>bpcu\SHUTDOWN_ISR.csv</t>
  </si>
  <si>
    <t>bpcu\SNGL235SRC_ALTERNATEPATH.csv</t>
  </si>
  <si>
    <t>bpcu\SNGL235SRC_R2BUSALTERNATEPATH.csv</t>
  </si>
  <si>
    <t>bpcu\SNGLSRC_SPLITSYS_ALTERNATEPATH.csv</t>
  </si>
  <si>
    <t>bpcu\SNGLSRC115TO115XFER.csv</t>
  </si>
  <si>
    <t>bpcu\SPLIT235AND115SYS.csv</t>
  </si>
  <si>
    <t>bpcu\SPLIT235AND115XFER.csv</t>
  </si>
  <si>
    <t>bpcu\SPSPROTECTION.csv</t>
  </si>
  <si>
    <t>bpcu\SRCID.csv</t>
  </si>
  <si>
    <t>bpcu\SSIDESNGLSRC115TO235XFER.csv</t>
  </si>
  <si>
    <t>bpcu\SSIDESNGLSRC235TO115XFER.csv</t>
  </si>
  <si>
    <t>bpcu\SSX_POSTINIT.csv</t>
  </si>
  <si>
    <t>bpcu\STIMFET.csv</t>
  </si>
  <si>
    <t>bpcu\TRUXFER_ENGINE.csv</t>
  </si>
  <si>
    <t>bpcu\UV2PROTFROMGCU.csv</t>
  </si>
  <si>
    <t>bpcu\V115BUSUV.csv</t>
  </si>
  <si>
    <t>bpcu\V115BUSXFER.csv</t>
  </si>
  <si>
    <t>bpcu\V115BUSXFER_ENGINE.csv</t>
  </si>
  <si>
    <t>bpcu\V235SRCSSTATE.csv</t>
  </si>
  <si>
    <t>gcu\ABORTAIR2GNDOPTST.csv</t>
  </si>
  <si>
    <t>gcu\ABORTCMSCINITIATEDOPTST.csv</t>
  </si>
  <si>
    <t>gcu\ABORTEPOPTST.csv</t>
  </si>
  <si>
    <t>gcu\ABORTPWRUPOPTST.csv</t>
  </si>
  <si>
    <t>gcu\ACBE_GENTESTLOAD.csv</t>
  </si>
  <si>
    <t>gcu\ACBE_LOGIC.csv</t>
  </si>
  <si>
    <t>gcu\ACINTERLOCK.csv</t>
  </si>
  <si>
    <t>gcu\ADJATRUCCONTROL.csv</t>
  </si>
  <si>
    <t>gcu\ADJATUBUSSRCPRIORITY.csv</t>
  </si>
  <si>
    <t>gcu\ADJGCUUFAILSAFE.csv</t>
  </si>
  <si>
    <t>gcu\ADJL235BUSSRCPRIORITY.csv</t>
  </si>
  <si>
    <t>gcu\ADJR235BUSSRCPRIORITY.csv</t>
  </si>
  <si>
    <t>gcu\AEP_POWER_AVAILABILITY.csv</t>
  </si>
  <si>
    <t>gcu\AEPC.csv</t>
  </si>
  <si>
    <t>gcu\AEPCCHATTERPROTECTION.csv</t>
  </si>
  <si>
    <t>gcu\AEPCCONTROL.csv</t>
  </si>
  <si>
    <t>gcu\AEPCFTCPROTECTION.csv</t>
  </si>
  <si>
    <t>gcu\AEPRECPTLAMP.csv</t>
  </si>
  <si>
    <t>gcu\AEPSWTLAMP.csv</t>
  </si>
  <si>
    <t>gcu\AFSR_CALLBACK.csv</t>
  </si>
  <si>
    <t>gcu\AFTEPATRUHVDCUVPROT.csv</t>
  </si>
  <si>
    <t>gcu\AFTEPATRUOTPROT.csv</t>
  </si>
  <si>
    <t>gcu\AFTEPATRUSATURATION.csv</t>
  </si>
  <si>
    <t>gcu\AFTEPMAINTENANCE.csv</t>
  </si>
  <si>
    <t>gcu\AGCUOC2LOCKRESETS.csv</t>
  </si>
  <si>
    <t>gcu\AIR2GNDOPTST.csv</t>
  </si>
  <si>
    <t>gcu\AIR2GNDOPTSTMODE1.csv</t>
  </si>
  <si>
    <t>gcu\AIR2GNDOPTSTMODE1_HOTBATTERYFEEDFET.csv</t>
  </si>
  <si>
    <t>gcu\AIR2GNDOPTSTMODE2.csv</t>
  </si>
  <si>
    <t>gcu\AIR2GNDOPTSTMODE2_FAN1.csv</t>
  </si>
  <si>
    <t>gcu\AIR2GNDOPTSTMODE2_FAN2.csv</t>
  </si>
  <si>
    <t>gcu\AIR2GNDOPTSTTOPLEVEL.csv</t>
  </si>
  <si>
    <t>gcu\ANY_LRUFAILED.csv</t>
  </si>
  <si>
    <t>gcu\ASGENGSTART.csv</t>
  </si>
  <si>
    <t>gcu\ASGOC2ISOLATION.csv</t>
  </si>
  <si>
    <t>gcu\ASGOC2PROTECTION.csv</t>
  </si>
  <si>
    <t>gcu\ASGOCISOLATION.csv</t>
  </si>
  <si>
    <t>gcu\ASGOCPROTECTION.csv</t>
  </si>
  <si>
    <t>gcu\ASGOF1PROTECTION.csv</t>
  </si>
  <si>
    <t>gcu\ASGOF2PROTECTION.csv</t>
  </si>
  <si>
    <t>gcu\ASGSRDFAILSAFEPROTECTION.csv</t>
  </si>
  <si>
    <t>gcu\ASGUFPROTECTION.csv</t>
  </si>
  <si>
    <t>gcu\ASGUNDERSPEED.csv</t>
  </si>
  <si>
    <t>gcu\ASGUSCYCLING.csv</t>
  </si>
  <si>
    <t>gcu\ASGUV2PROTECTION.csv</t>
  </si>
  <si>
    <t>gcu\ATRUC.csv</t>
  </si>
  <si>
    <t>gcu\ATRUCFTCPROTECTION.csv</t>
  </si>
  <si>
    <t>gcu\ATRUCFTO.csv</t>
  </si>
  <si>
    <t>gcu\ATRUCPROTTRIPRQST.csv</t>
  </si>
  <si>
    <t>gcu\ATRUMAINTENANCE.csv</t>
  </si>
  <si>
    <t>gcu\ATRURIPPLE1PROT.csv</t>
  </si>
  <si>
    <t>gcu\ATRURIPPLE2PROT.csv</t>
  </si>
  <si>
    <t>gcu\ATRURIPPLEPROT.csv</t>
  </si>
  <si>
    <t>gcu\ATRUUNBVOLTPROT.csv</t>
  </si>
  <si>
    <t>gcu\ATUC.csv</t>
  </si>
  <si>
    <t>gcu\ATUCFTCPROTECTION.csv</t>
  </si>
  <si>
    <t>gcu\ATUCFTO1.csv</t>
  </si>
  <si>
    <t>gcu\ATUCFTO2.csv</t>
  </si>
  <si>
    <t>gcu\ATUCFTO3.csv</t>
  </si>
  <si>
    <t>gcu\BBRLY.csv</t>
  </si>
  <si>
    <t>gcu\BBRLYFTCPROTECTION.csv</t>
  </si>
  <si>
    <t>gcu\BBRLYFTO.csv</t>
  </si>
  <si>
    <t>gcu\BEARINGROTORPROTECTION.csv</t>
  </si>
  <si>
    <t>gcu\BITE_EXECUTIVE.csv</t>
  </si>
  <si>
    <t>gcu\BITE_HOOKS_AND_HANDLES.csv</t>
  </si>
  <si>
    <t>gcu\BITE_IO.csv</t>
  </si>
  <si>
    <t>gcu\BITE_UPDATE_DESIGN_NOTES.csv</t>
  </si>
  <si>
    <t>gcu\BITE_UPDATE_SOFTWARE_HOOKS_OTHERS.csv</t>
  </si>
  <si>
    <t>gcu\BUSATRUPROTECTION.csv</t>
  </si>
  <si>
    <t>gcu\BUSOFFMAINTENANCE.csv</t>
  </si>
  <si>
    <t>gcu\BUSSYNOPTICS.csv</t>
  </si>
  <si>
    <t>gcu\BUSUVPROTECTON.csv</t>
  </si>
  <si>
    <t>gcu\CALCULATE_PMGFREQUENCY.csv</t>
  </si>
  <si>
    <t>gcu\CHATTERPROTECTION.csv</t>
  </si>
  <si>
    <t>gcu\CMSCINITIATEDOPTST.csv</t>
  </si>
  <si>
    <t>gcu\CMSCINITIATEDOPTST_ATRUCCACTRIPRQST.csv</t>
  </si>
  <si>
    <t>gcu\CMSCINITIATEDOPTST_ATRUCEMPTRIPRQST.csv</t>
  </si>
  <si>
    <t>gcu\CMSCINITIATEDOPTST_STARTCONTACTORS.csv</t>
  </si>
  <si>
    <t>gcu\CMSCINITIATEDOPTSTTOPLEVEL.csv</t>
  </si>
  <si>
    <t>gcu\CMSCSAFEINLKPROT.csv</t>
  </si>
  <si>
    <t>gcu\CONTACTORPROTCOORD.csv</t>
  </si>
  <si>
    <t>gcu\DCCONTENTPROTECTION.csv</t>
  </si>
  <si>
    <t>gcu\DCLINKMONPROTECTION.csv</t>
  </si>
  <si>
    <t>gcu\DEBOUNCE_OWN235BUSRAWTARSRC.csv</t>
  </si>
  <si>
    <t>gcu\DETERMINE_AIRCRAFTMODE.csv</t>
  </si>
  <si>
    <t>gcu\DETERMINE_AIRCRAFTMODE_LIBRARY.csv</t>
  </si>
  <si>
    <t>gcu\DETERMINE_OVTPUFAULT.csv</t>
  </si>
  <si>
    <t>gcu\DPPROTECTION.csv</t>
  </si>
  <si>
    <t>gcu\DUALASGCONTROL.csv</t>
  </si>
  <si>
    <t>gcu\DUALASGMODE.csv</t>
  </si>
  <si>
    <t>gcu\EICASACBUSCAUTION.csv</t>
  </si>
  <si>
    <t>gcu\EICASELECATUSTATUS.csv</t>
  </si>
  <si>
    <t>gcu\EICASGENCTRLSTATUS.csv</t>
  </si>
  <si>
    <t>gcu\EICASGENDEBRISSTATUS.csv</t>
  </si>
  <si>
    <t>gcu\EICASGENDRIVEADV.csv</t>
  </si>
  <si>
    <t>gcu\EICASGENOFFADV.csv</t>
  </si>
  <si>
    <t>gcu\EICASGENSYSSTATUS.csv</t>
  </si>
  <si>
    <t>gcu\EICASHVDCSTATUS.csv</t>
  </si>
  <si>
    <t>gcu\EICASMAINACISLNSTATUS.csv</t>
  </si>
  <si>
    <t>gcu\ELCUPROTCOORD.csv</t>
  </si>
  <si>
    <t>gcu\ENGINESTARTCONTACTORSTATUS.csv</t>
  </si>
  <si>
    <t>gcu\ENGSTARTINHIBIT.csv</t>
  </si>
  <si>
    <t>gcu\EPAFTCONTROL.csv</t>
  </si>
  <si>
    <t>gcu\EPAFTPROTECTIONS.csv</t>
  </si>
  <si>
    <t>gcu\EPDCCONTENTPROTECTION.csv</t>
  </si>
  <si>
    <t>gcu\EPFREQUENCYDEBOUNCE.csv</t>
  </si>
  <si>
    <t>gcu\EPOCPROTECTION.csv</t>
  </si>
  <si>
    <t>gcu\EPOFPROTECTION.csv</t>
  </si>
  <si>
    <t>gcu\EPONLYENGINESTARTTYPE.csv</t>
  </si>
  <si>
    <t>gcu\EPONLYENGINESTARTTYPE_LIBRARY.csv</t>
  </si>
  <si>
    <t>gcu\EPOPENPHASEPROTECTION.csv</t>
  </si>
  <si>
    <t>gcu\EPOPTST.csv</t>
  </si>
  <si>
    <t>gcu\EPOPTSTMODE1.csv</t>
  </si>
  <si>
    <t>gcu\EPOPTSTMODE1_HOTBATTERYFEEDFET.csv</t>
  </si>
  <si>
    <t>gcu\EPOPTSTMODE2.csv</t>
  </si>
  <si>
    <t>gcu\EPOPTSTMODE2_FAN1.csv</t>
  </si>
  <si>
    <t>gcu\EPOPTSTMODE2_FAN2.csv</t>
  </si>
  <si>
    <t>gcu\EPOPTSTTOPLEVEL.csv</t>
  </si>
  <si>
    <t>gcu\EPOVPROTECTION.csv</t>
  </si>
  <si>
    <t>gcu\EPPHSEQPROTECTION.csv</t>
  </si>
  <si>
    <t>gcu\EPPROTECTIONFLTLTCH.csv</t>
  </si>
  <si>
    <t>gcu\EPSSWITCH.csv</t>
  </si>
  <si>
    <t>gcu\EPUFPROTECTION.csv</t>
  </si>
  <si>
    <t>gcu\EPUVPROTECTION.csv</t>
  </si>
  <si>
    <t>gcu\ESICRESETS.csv</t>
  </si>
  <si>
    <t>gcu\ETPUTEST.csv</t>
  </si>
  <si>
    <t>gcu\FAILSAFE_CONTACTOR_CONTROL.csv</t>
  </si>
  <si>
    <t>gcu\FANCONTROL.csv</t>
  </si>
  <si>
    <t>gcu\FANMONITOR.csv</t>
  </si>
  <si>
    <t>gcu\FIRESWITCHMON.csv</t>
  </si>
  <si>
    <t>gcu\GCB_APB.csv</t>
  </si>
  <si>
    <t>gcu\GCBAPBFTCPROTECTION.csv</t>
  </si>
  <si>
    <t>gcu\GCBAPBFTO.csv</t>
  </si>
  <si>
    <t>gcu\GCSSWITCH.csv</t>
  </si>
  <si>
    <t>gcu\GCU_EICAS.csv</t>
  </si>
  <si>
    <t>gcu\GCU_FTOPROTECTIONS.csv</t>
  </si>
  <si>
    <t>gcu\GCU_MAIN.csv</t>
  </si>
  <si>
    <t>gcu\GCU_POWER_TRANSFER.csv</t>
  </si>
  <si>
    <t>gcu\GCU_PWRUP_OPTSTS.csv</t>
  </si>
  <si>
    <t>gcu\GCU_PWRUP_OPTSTS_OUTPUT_DRIVERS.csv</t>
  </si>
  <si>
    <t>gcu\GCU_PWRUP_OPTSTS_TOPLEVEL.csv</t>
  </si>
  <si>
    <t>gcu\GCUCONTROL.csv</t>
  </si>
  <si>
    <t>gcu\GCUMAINTENANCE.csv</t>
  </si>
  <si>
    <t>gcu\GCUTOPLEVEL.csv</t>
  </si>
  <si>
    <t>gcu\GEC1.csv</t>
  </si>
  <si>
    <t>gcu\GEC2.csv</t>
  </si>
  <si>
    <t>gcu\GEC3.csv</t>
  </si>
  <si>
    <t>gcu\GEC3CONTROL.csv</t>
  </si>
  <si>
    <t>gcu\GEN_POWER_AVAILABILITY.csv</t>
  </si>
  <si>
    <t>gcu\GENOPENPHASEPROTECTION.csv</t>
  </si>
  <si>
    <t>gcu\GENOV1PROTECTION.csv</t>
  </si>
  <si>
    <t>gcu\GENUVPROTECTION.csv</t>
  </si>
  <si>
    <t>gcu\GET_FEPCOMMANDEDONSTATE.csv</t>
  </si>
  <si>
    <t>gcu\GET_SYSYCONTACTORSTATE.csv</t>
  </si>
  <si>
    <t>gcu\GET_SYSYCONTACTORSTATUS.csv</t>
  </si>
  <si>
    <t>gcu\GETSUOPTEST.csv</t>
  </si>
  <si>
    <t>gcu\GETSUPROTECTION.csv</t>
  </si>
  <si>
    <t>gcu\GNR.csv</t>
  </si>
  <si>
    <t>gcu\INHIBITAIR2GNDOPTST.csv</t>
  </si>
  <si>
    <t>gcu\INHIBITCMSCINITIATEDOPTST.csv</t>
  </si>
  <si>
    <t>gcu\INHIBITEPOPTST.csv</t>
  </si>
  <si>
    <t>gcu\INHIBITPWRUPOPTST.csv</t>
  </si>
  <si>
    <t>gcu\INHIBITPWRXFER.csv</t>
  </si>
  <si>
    <t>gcu\INPUTPROCESSING.csv</t>
  </si>
  <si>
    <t>gcu\IS_EPONLYMES_RECONFIGURATION.csv</t>
  </si>
  <si>
    <t>gcu\LASTSOURCEAIR.csv</t>
  </si>
  <si>
    <t>gcu\LRUPOSITION.csv</t>
  </si>
  <si>
    <t>gcu\MAINENGSTART.csv</t>
  </si>
  <si>
    <t>gcu\MASTERSLAVE_AIRCRAFTMODE.csv</t>
  </si>
  <si>
    <t>gcu\NEWV235SRC.csv</t>
  </si>
  <si>
    <t>gcu\NVM_SNAPSHOTTRIGGER.csv</t>
  </si>
  <si>
    <t>gcu\OPENGENCTPROTECTION.csv</t>
  </si>
  <si>
    <t>gcu\OPERATIONALTESTS.csv</t>
  </si>
  <si>
    <t>gcu\OPTSTOILDEBRISMONITOR.csv</t>
  </si>
  <si>
    <t>gcu\OSX_POSTINITFUNC.csv</t>
  </si>
  <si>
    <t>gcu\OUTPUT_ACTUATION.csv</t>
  </si>
  <si>
    <t>gcu\OUTPUTPROCESSING.csv</t>
  </si>
  <si>
    <t>gcu\OVTPUISOLATION.csv</t>
  </si>
  <si>
    <t>gcu\OVTPUTEST.csv</t>
  </si>
  <si>
    <t>gcu\OWN235BUS.csv</t>
  </si>
  <si>
    <t>gcu\OWN235BUSCURRSRC.csv</t>
  </si>
  <si>
    <t>gcu\OWN235BUSRAWTARSRC.csv</t>
  </si>
  <si>
    <t>gcu\OWN235BUSSTATE.csv</t>
  </si>
  <si>
    <t>gcu\OWN235BUSTARSRC.csv</t>
  </si>
  <si>
    <t>gcu\OWN235BUSXFER.csv</t>
  </si>
  <si>
    <t>gcu\OWN235BUSXFER_MANAGER.csv</t>
  </si>
  <si>
    <t>gcu\OWN270BUS.csv</t>
  </si>
  <si>
    <t>gcu\OWNSRCAVAILABILITY.csv</t>
  </si>
  <si>
    <t>gcu\PERFORM_235BUSXFER.csv</t>
  </si>
  <si>
    <t>gcu\PHSEQPROTECTION.csv</t>
  </si>
  <si>
    <t>gcu\PORMAINTENANCE.csv</t>
  </si>
  <si>
    <t>gcu\PROTECTIONFLTLTCH.csv</t>
  </si>
  <si>
    <t>gcu\PWRUP_OPTSTS_BITE_EXECUTIVE.csv</t>
  </si>
  <si>
    <t>gcu\PWRUPOPTST.csv</t>
  </si>
  <si>
    <t>gcu\PWRUPOPTSTATUCCONTACTORDRIVER.csv</t>
  </si>
  <si>
    <t>gcu\PWRUPOPTSTCONTINUOUS.csv</t>
  </si>
  <si>
    <t>gcu\PWRUPOPTSTCONTINUOUSTOPLEVEL.csv</t>
  </si>
  <si>
    <t>gcu\PWRUPOPTSTMODE1.csv</t>
  </si>
  <si>
    <t>gcu\PWRUPOPTSTMODE1_ATRUCELCUTRIPRQST.csv</t>
  </si>
  <si>
    <t>gcu\PWRUPOPTSTMODE1_ATUC.csv</t>
  </si>
  <si>
    <t>gcu\PWRUPOPTSTMODE1_ATUCELCUTRIPRQST.csv</t>
  </si>
  <si>
    <t>gcu\PWRUPOPTSTMODE2.csv</t>
  </si>
  <si>
    <t>gcu\PWRUPOPTSTMODE2_ATUCELCUTRIPRQST.csv</t>
  </si>
  <si>
    <t>gcu\PWRUPOPTSTMODE2_TIEBTB.csv</t>
  </si>
  <si>
    <t>gcu\PWRUPOPTSTMODE3.csv</t>
  </si>
  <si>
    <t>gcu\PWRUPOPTSTMODE3_TIEBTB.csv</t>
  </si>
  <si>
    <t>gcu\PWRUPOPTSTMODE4.csv</t>
  </si>
  <si>
    <t>gcu\PWRUPOPTSTMODE4_ATUC.csv</t>
  </si>
  <si>
    <t>gcu\PWRUPOPTSTTIEBTBCONTACTORDRIVER.csv</t>
  </si>
  <si>
    <t>gcu\RECONFIGEPONLYMES.csv</t>
  </si>
  <si>
    <t>gcu\RECONFIGSTATUS.csv</t>
  </si>
  <si>
    <t>gcu\RFMCINITIATEDOPTST.csv</t>
  </si>
  <si>
    <t>gcu\RFMCINITIATEDOPTSTTOPLEVEL.csv</t>
  </si>
  <si>
    <t>gcu\RINGBTB.csv</t>
  </si>
  <si>
    <t>gcu\RINGBTBFTCPROTECTION.csv</t>
  </si>
  <si>
    <t>gcu\RINGBTBFTO.csv</t>
  </si>
  <si>
    <t>gcu\ROLSPROTECTION.csv</t>
  </si>
  <si>
    <t>gcu\ROTORBURSTPROTECTION.csv</t>
  </si>
  <si>
    <t>gcu\SELECTINPUTS.csv</t>
  </si>
  <si>
    <t>gcu\SELECTOUTPUTS.csv</t>
  </si>
  <si>
    <t>gcu\SNGLSRC_SPLITSYS_ALTERNATEPATH.csv</t>
  </si>
  <si>
    <t>gcu\SOFTCALIBRATION.csv</t>
  </si>
  <si>
    <t>gcu\SOFTCALPROCESSING.csv</t>
  </si>
  <si>
    <t>gcu\SPLIT235AND115SYS.csv</t>
  </si>
  <si>
    <t>gcu\SRCID.csv</t>
  </si>
  <si>
    <t>gcu\SRCPRIORITYTBL.csv</t>
  </si>
  <si>
    <t>gcu\SSIDESNGLSRC115TO235XXER.csv</t>
  </si>
  <si>
    <t>gcu\SSIDESNGLSRC235TO115XFER.csv</t>
  </si>
  <si>
    <t>gcu\STAGGER_XFERS.csv</t>
  </si>
  <si>
    <t>gcu\STARTCONTCONTROL.csv</t>
  </si>
  <si>
    <t>gcu\TBDPPROTECTION.csv</t>
  </si>
  <si>
    <t>gcu\TIEBTB.csv</t>
  </si>
  <si>
    <t>gcu\TIEBTBFTCPROTECTION.csv</t>
  </si>
  <si>
    <t>gcu\TIEBTBFTO1.csv</t>
  </si>
  <si>
    <t>gcu\TIEBTBFTO2.csv</t>
  </si>
  <si>
    <t>gcu\UPFPROTECTION.csv</t>
  </si>
  <si>
    <t>gcu\V235ATRUHVDCUVPROT.csv</t>
  </si>
  <si>
    <t>gcu\V235ATRUOTPROT.csv</t>
  </si>
  <si>
    <t>gcu\V235ATRUSATURATION.csv</t>
  </si>
  <si>
    <t>gcu\V235BUS_PATH.csv</t>
  </si>
  <si>
    <t>gcu\V235BUSXFER_ENGINE.csv</t>
  </si>
  <si>
    <t>gcu\V270BUSSTATE.csv</t>
  </si>
  <si>
    <t>gcu\V270BUSXFER_ENGINE.csv</t>
  </si>
  <si>
    <t>gcu\VFSGASGPROTECTIONS.csv</t>
  </si>
  <si>
    <t>gcu\VFSGDISCMAINTENANCE.csv</t>
  </si>
  <si>
    <t>gcu\VFSGDISCONNECT.csv</t>
  </si>
  <si>
    <t>gcu\VFSGOC2ISOLATION.csv</t>
  </si>
  <si>
    <t>gcu\VFSGOC2PROTECTION.csv</t>
  </si>
  <si>
    <t>gcu\VFSGOCISOLATION.csv</t>
  </si>
  <si>
    <t>gcu\VFSGOCPROTECTION.csv</t>
  </si>
  <si>
    <t>gcu\VFSGOCPROTECTIONUS.csv</t>
  </si>
  <si>
    <t>gcu\VFSGOFPROTECTION.csv</t>
  </si>
  <si>
    <t>gcu\VFSGOILPRESSUREMONITOR.csv</t>
  </si>
  <si>
    <t>gcu\VFSGSRDFAILSAFEPROTECTION.csv</t>
  </si>
  <si>
    <t>gcu\VFSGUF1PROTECTION.csv</t>
  </si>
  <si>
    <t>gcu\VFSGUNDERSPEED.csv</t>
  </si>
  <si>
    <t>gcu\VFSGUV2PROTECTION.csv</t>
  </si>
  <si>
    <t>gcu\VRCONTROL.csv</t>
  </si>
  <si>
    <t>gcu\XFERMODES.csv</t>
  </si>
  <si>
    <t>gcu\XFERSTATE.csv</t>
  </si>
  <si>
    <t>gcu\XFERSTATUS.csv</t>
  </si>
  <si>
    <t>BPCU A-B</t>
  </si>
  <si>
    <t>BPCU C-I</t>
  </si>
  <si>
    <t>BPCU L-N</t>
  </si>
  <si>
    <t>BPCU O-V</t>
  </si>
  <si>
    <t>GCU A-D</t>
  </si>
  <si>
    <t>GCU E-I</t>
  </si>
  <si>
    <t>GCU L-P</t>
  </si>
  <si>
    <t>GCU R-X</t>
  </si>
  <si>
    <t>gcu\LVPS_DETECT.csv</t>
  </si>
  <si>
    <t>gcu\SSX_PREINIT.csv</t>
  </si>
  <si>
    <t>bpcu\BPCULOADMANAGEMENT_APUOL_RESTORELATCHEDSHEDS.csv</t>
  </si>
  <si>
    <t>bpcu\LVPS_DETECT.csv</t>
  </si>
  <si>
    <t>bpcu\SSX_PREINIT.csv</t>
  </si>
  <si>
    <t>gcu\SSX_POSTINIT.csv</t>
  </si>
  <si>
    <t>bpcu\CONDITIONFIXEDTD.csv</t>
  </si>
  <si>
    <t>bpcu\CONDITIONFIXEDTDWITHINHIBIT.csv</t>
  </si>
  <si>
    <t>bpcu\LM_SHEDRESTORE.csv</t>
  </si>
  <si>
    <t>bpcu\RESET_SHUTDOWN_HWINTERRUPT.csv</t>
  </si>
  <si>
    <t>bpcu\RT_ENAB.csv</t>
  </si>
  <si>
    <t>bpcu\UNDERPROTECTIONWITHINHIBITANDCONDITION.csv</t>
  </si>
  <si>
    <t>bpcu\MEMSET.csv</t>
  </si>
  <si>
    <t>bpcu\ONESHOTTD_FALLING_EDGE.csv</t>
  </si>
  <si>
    <t>bpcu\ONESHOTTD_RISING_EDGE.csv</t>
  </si>
  <si>
    <t>bpcu\OVERPROTECTIONWITHINHIBITANDCONDITION.csv</t>
  </si>
  <si>
    <t>gcu\CONDITIONFIXEDTD.csv</t>
  </si>
  <si>
    <t>gcu\CONDITIONFIXEDTDWITHINHIBIT.csv</t>
  </si>
  <si>
    <t>gcu\ONESHOTTD_FALLING_EDGE.csv</t>
  </si>
  <si>
    <t>gcu\ONESHOTTD_RISING_EDGE.csv</t>
  </si>
  <si>
    <t>gcu\OVERPROTECTIONWITHINHIBITANDCONDITION.csv</t>
  </si>
  <si>
    <t>gcu\RT_ENAB.csv</t>
  </si>
  <si>
    <t>gcu\UNDERPROTECTIONWITHINHIBITANDCONDITION.csv</t>
  </si>
  <si>
    <t>LASTSOURCEAIR.C :</t>
  </si>
  <si>
    <t>Statement blocks ............ 100.0% (8/8)</t>
  </si>
  <si>
    <t>Implicit blocks ............. 100.0% (3/3)</t>
  </si>
  <si>
    <t>Decisions ................... 100.0% (11/11)</t>
  </si>
  <si>
    <t>Basic conditions ............ 100.0% (24/24)</t>
  </si>
  <si>
    <t>Modified conditions ......... 100.0% (10/10)</t>
  </si>
  <si>
    <t>lastsourceair_Init :</t>
  </si>
  <si>
    <t>Statement blocks ............ 100.0% (1/1)</t>
  </si>
  <si>
    <t>Implicit blocks .............   none</t>
  </si>
  <si>
    <t>Decisions ................... 100.0% (1/1)</t>
  </si>
  <si>
    <t>Basic conditions ............   none</t>
  </si>
  <si>
    <t>Modified conditions .........   none</t>
  </si>
  <si>
    <t>lastsourceair :</t>
  </si>
  <si>
    <t>Statement blocks ............ 100.0% (7/7)</t>
  </si>
  <si>
    <t>Decisions ................... 100.0% (10/10)</t>
  </si>
  <si>
    <t>LASTSOURCEAIR</t>
  </si>
  <si>
    <t>LRUPOSITION.C :</t>
  </si>
  <si>
    <t>Basic conditions ............ 100.0% (8/8)</t>
  </si>
  <si>
    <t>Modified conditions ......... 100.0% (4/4)</t>
  </si>
  <si>
    <t>LruPosition :</t>
  </si>
  <si>
    <t>LRUPOSITION</t>
  </si>
  <si>
    <t>LVPS_DETECT.C :</t>
  </si>
  <si>
    <t>Statement blocks ............ 100.0% (33/33)</t>
  </si>
  <si>
    <t>Implicit blocks ............. 100.0% (14/14)</t>
  </si>
  <si>
    <t>Decisions ................... 100.0% (47/47)</t>
  </si>
  <si>
    <t>Basic conditions ............ 100.0% (76/76)</t>
  </si>
  <si>
    <t>Modified conditions ......... 100.0% (27/27)</t>
  </si>
  <si>
    <t>Nvm_LVPS_Detect_Update :</t>
  </si>
  <si>
    <t>Statement blocks ............ 100.0% (2/2)</t>
  </si>
  <si>
    <t>Implicit blocks ............. 100.0% (1/1)</t>
  </si>
  <si>
    <t>Decisions ................... 100.0% (3/3)</t>
  </si>
  <si>
    <t>Basic conditions ............ 100.0% (2/2)</t>
  </si>
  <si>
    <t>LVPS_Detect_Logic :</t>
  </si>
  <si>
    <t>Statement blocks ............ 100.0% (16/16)</t>
  </si>
  <si>
    <t>Implicit blocks ............. 100.0% (9/9)</t>
  </si>
  <si>
    <t>Decisions ................... 100.0% (25/25)</t>
  </si>
  <si>
    <t>Basic conditions ............ 100.0% (42/42)</t>
  </si>
  <si>
    <t>Modified conditions ......... 100.0% (17/17)</t>
  </si>
  <si>
    <t>Pseudo_Failsafe_Mode :</t>
  </si>
  <si>
    <t>Implicit blocks ............. 100.0% (4/4)</t>
  </si>
  <si>
    <t>Decisions ................... 100.0% (12/12)</t>
  </si>
  <si>
    <t>Basic conditions ............ 100.0% (14/14)</t>
  </si>
  <si>
    <t>Modified conditions ......... 100.0% (2/2)</t>
  </si>
  <si>
    <t>Detect_GCS_SW_Transition :</t>
  </si>
  <si>
    <t>Decisions ................... 100.0% (7/7)</t>
  </si>
  <si>
    <t>Basic conditions ............ 100.0% (18/18)</t>
  </si>
  <si>
    <t>Modified conditions ......... 100.0% (8/8)</t>
  </si>
  <si>
    <t>LVPS_DETECT</t>
  </si>
  <si>
    <t>MAINENGSTART.C :</t>
  </si>
  <si>
    <t>Statement blocks ............  88.2% (15/17)</t>
  </si>
  <si>
    <t>Decisions ...................  88.9% (16/18)</t>
  </si>
  <si>
    <t>Basic conditions ............  96.3% (52/54)</t>
  </si>
  <si>
    <t>Modified conditions ......... 100.0% (20/20)</t>
  </si>
  <si>
    <t>MainEngStart_Init :</t>
  </si>
  <si>
    <t>MainEngStart_Disable :</t>
  </si>
  <si>
    <t>MainEngStart_Start :</t>
  </si>
  <si>
    <t>MainEngStart :</t>
  </si>
  <si>
    <t>Statement blocks ............  85.7% (12/14)</t>
  </si>
  <si>
    <t>/default, line 385</t>
  </si>
  <si>
    <t>/default, line 507</t>
  </si>
  <si>
    <t>Decisions ...................  86.7% (13/15)</t>
  </si>
  <si>
    <t>"default", line 385</t>
  </si>
  <si>
    <t>"default", line 507</t>
  </si>
  <si>
    <t>MAINENGSTART</t>
  </si>
  <si>
    <t>MASTERSLAVE_AIRCRAFTMODE.C :</t>
  </si>
  <si>
    <t>Statement blocks ............  92.9% (26/28)</t>
  </si>
  <si>
    <t>Implicit blocks ............. 100.0% (2/2)</t>
  </si>
  <si>
    <t>Decisions ...................  93.3% (28/30)</t>
  </si>
  <si>
    <t>Basic conditions ............  92.3% (24/26)</t>
  </si>
  <si>
    <t>MasterSlave_AircraftMode_Init :</t>
  </si>
  <si>
    <t>MasterSlave_AircraftMode_Disable :</t>
  </si>
  <si>
    <t>MasterSlave_AircraftMode_Start :</t>
  </si>
  <si>
    <t>MasterSlave_AircraftMode :</t>
  </si>
  <si>
    <t>Statement blocks ............  92.0% (23/25)</t>
  </si>
  <si>
    <t>/default, line 260</t>
  </si>
  <si>
    <t>/default, line 364</t>
  </si>
  <si>
    <t>Decisions ...................  92.6% (25/27)</t>
  </si>
  <si>
    <t>"default", line 260</t>
  </si>
  <si>
    <t>"default", line 364</t>
  </si>
  <si>
    <t>MASTERSLAVE_AIRCRAFTMODE</t>
  </si>
  <si>
    <t>NEWV235SRC.C :</t>
  </si>
  <si>
    <t>Statement blocks ............ 100.0% (4/4)</t>
  </si>
  <si>
    <t>Decisions ................... 100.0% (5/5)</t>
  </si>
  <si>
    <t>Basic conditions ............ 100.0% (4/4)</t>
  </si>
  <si>
    <t>Is_NewV235SrcSelected_Init :</t>
  </si>
  <si>
    <t>Is_NewV235SrcSelected :</t>
  </si>
  <si>
    <t>Statement blocks ............ 100.0% (3/3)</t>
  </si>
  <si>
    <t>Decisions ................... 100.0% (4/4)</t>
  </si>
  <si>
    <t>NEWV235SRC</t>
  </si>
  <si>
    <t>NVM_SNAPSHOTTRIGGER.C :</t>
  </si>
  <si>
    <t>Decisions ................... 100.0% (2/2)</t>
  </si>
  <si>
    <t>NVM_SnapsotTrigger_Init :</t>
  </si>
  <si>
    <t>NVM_SnapsotTrigger :</t>
  </si>
  <si>
    <t>NVM_SNAPSHOTTRIGGER</t>
  </si>
  <si>
    <t>ONESHOTTD_FALLING_EDGE.C :</t>
  </si>
  <si>
    <t>Statement blocks ............ 100.0% (5/5)</t>
  </si>
  <si>
    <t>OneshotTD_Falling_Edge :</t>
  </si>
  <si>
    <t>ONESHOTTD_FALLING_EDGE</t>
  </si>
  <si>
    <t>ONESHOTTD_RISING_EDGE.C :</t>
  </si>
  <si>
    <t>OneshotTD_Rising_Edge :</t>
  </si>
  <si>
    <t>ONESHOTTD_RISING_EDGE</t>
  </si>
  <si>
    <t>OPENGENCTPROTECTION.C :</t>
  </si>
  <si>
    <t>Decisions ................... 100.0% (8/8)</t>
  </si>
  <si>
    <t>Basic conditions ............ 100.0% (26/26)</t>
  </si>
  <si>
    <t>OpenGenCTProtection_Init :</t>
  </si>
  <si>
    <t>OpenGenCTProtection :</t>
  </si>
  <si>
    <t>OPENGENCTPROTECTION</t>
  </si>
  <si>
    <t>OPERATIONALTESTS.C :</t>
  </si>
  <si>
    <t>Basic conditions ............ 100.0% (122/122)</t>
  </si>
  <si>
    <t>Modified conditions ......... 100.0% (60/60)</t>
  </si>
  <si>
    <t>mr_OperationalTests_Init :</t>
  </si>
  <si>
    <t>mr_OperationalTests_Disable :</t>
  </si>
  <si>
    <t>mr_OperationalTests_Start :</t>
  </si>
  <si>
    <t>mr_OperationalTests :</t>
  </si>
  <si>
    <t>Basic conditions ............ 100.0% (120/120)</t>
  </si>
  <si>
    <t>mr_OperationalTests_Term :</t>
  </si>
  <si>
    <t>mr_OperationalTests_initialize :</t>
  </si>
  <si>
    <t>OPERATIONALTESTS</t>
  </si>
  <si>
    <t>OPTSTOILDEBRISMONITOR.C :</t>
  </si>
  <si>
    <t>Statement blocks ............ 100.0% (21/21)</t>
  </si>
  <si>
    <t>Decisions ................... 100.0% (22/22)</t>
  </si>
  <si>
    <t>Basic conditions ............ 100.0% (40/40)</t>
  </si>
  <si>
    <t>Modified conditions ......... 100.0% (14/14)</t>
  </si>
  <si>
    <t>OpTstOilDebrisMonitor_Init :</t>
  </si>
  <si>
    <t>OpTstOilDebrisMonitor :</t>
  </si>
  <si>
    <t>Statement blocks ............ 100.0% (20/20)</t>
  </si>
  <si>
    <t>Decisions ................... 100.0% (21/21)</t>
  </si>
  <si>
    <t>OPTSTOILDEBRISMONITOR</t>
  </si>
  <si>
    <t>OSX_POSTINITFUNC.C :</t>
  </si>
  <si>
    <t>Statement blocks ............ 100.0% (34/34)</t>
  </si>
  <si>
    <t>Implicit blocks ............. 100.0% (19/19)</t>
  </si>
  <si>
    <t>Decisions ................... 100.0% (53/53)</t>
  </si>
  <si>
    <t>Basic conditions ............ 100.0% (338/338)</t>
  </si>
  <si>
    <t>Modified conditions ......... 100.0% (154/154)</t>
  </si>
  <si>
    <t>OSX_PostInitFunc :</t>
  </si>
  <si>
    <t>OSX_POSTINITFUNC</t>
  </si>
  <si>
    <t>OUTPUT_ACTUATION.C :</t>
  </si>
  <si>
    <t>Output_Actuation_Init :</t>
  </si>
  <si>
    <t>Output_Actuation_Disable :</t>
  </si>
  <si>
    <t>Output_Actuation_Start :</t>
  </si>
  <si>
    <t>Output_Actuation :</t>
  </si>
  <si>
    <t>Output_Actuation_Term :</t>
  </si>
  <si>
    <t>OUTPUT_ACTUATION</t>
  </si>
  <si>
    <t>OUTPUTPROCESSING.C :</t>
  </si>
  <si>
    <t>Basic conditions ............ 100.0% (22/22)</t>
  </si>
  <si>
    <t>mr_OutputProcessing_Init :</t>
  </si>
  <si>
    <t>mr_OutputProcessing_Disable :</t>
  </si>
  <si>
    <t>mr_OutputProcessing_Start :</t>
  </si>
  <si>
    <t>mr_OutputProcessing :</t>
  </si>
  <si>
    <t>Basic conditions ............ 100.0% (20/20)</t>
  </si>
  <si>
    <t>mr_OutputProcessing_Term :</t>
  </si>
  <si>
    <t>mr_OutputProcessing_initialize :</t>
  </si>
  <si>
    <t>OUTPUTPROCESSING</t>
  </si>
  <si>
    <t>OVTPUISOLATION.C :</t>
  </si>
  <si>
    <t>Basic conditions ............ 100.0% (44/44)</t>
  </si>
  <si>
    <t>Modified conditions ......... 100.0% (22/22)</t>
  </si>
  <si>
    <t>OVTPUIsolation :</t>
  </si>
  <si>
    <t>OVTPUISOLATION</t>
  </si>
  <si>
    <t>OVTPUTEST.C :</t>
  </si>
  <si>
    <t>Statement blocks ............  98.1% (102/104)</t>
  </si>
  <si>
    <t>Implicit blocks ............. 100.0% (8/8)</t>
  </si>
  <si>
    <t>Decisions ...................  98.2% (110/112)</t>
  </si>
  <si>
    <t>Basic conditions ............  98.8% (164/166)</t>
  </si>
  <si>
    <t>Modified conditions ......... 100.0% (41/41)</t>
  </si>
  <si>
    <t>ovtputest_Init :</t>
  </si>
  <si>
    <t>ovtputest_Disable :</t>
  </si>
  <si>
    <t>ovtputest_Start :</t>
  </si>
  <si>
    <t>ovtputest :</t>
  </si>
  <si>
    <t>Statement blocks ............  98.0% (98/100)</t>
  </si>
  <si>
    <t>/default, line 455</t>
  </si>
  <si>
    <t>/default, line 1179</t>
  </si>
  <si>
    <t>Decisions ...................  98.1% (106/108)</t>
  </si>
  <si>
    <t>"default", line 455</t>
  </si>
  <si>
    <t>"default", line 1179</t>
  </si>
  <si>
    <t>ovtputest_Term :</t>
  </si>
  <si>
    <t>OVTPUTEST</t>
  </si>
  <si>
    <t>OVERPROTECTIONWITHINHIBITANDCONDITION.C :</t>
  </si>
  <si>
    <t>Statement blocks ............ 100.0% (9/9)</t>
  </si>
  <si>
    <t>Decisions ................... 100.0% (9/9)</t>
  </si>
  <si>
    <t>Basic conditions ............ 100.0% (10/10)</t>
  </si>
  <si>
    <t>OverProtectionWithInhibitAndCondition :</t>
  </si>
  <si>
    <t>OVERPROTECTIONWITHINHIBITANDCO</t>
  </si>
  <si>
    <t>OWN235BUS.C :</t>
  </si>
  <si>
    <t>Own235Bus_Init :</t>
  </si>
  <si>
    <t>Own235Bus :</t>
  </si>
  <si>
    <t>OWN235BUS</t>
  </si>
  <si>
    <t>OWN235BUSCURRSRC.C :</t>
  </si>
  <si>
    <t>Statement blocks ............ 100.0% (26/26)</t>
  </si>
  <si>
    <t>Decisions ................... 100.0% (27/27)</t>
  </si>
  <si>
    <t>Modified conditions ......... 100.0% (6/6)</t>
  </si>
  <si>
    <t>Determine_Own235Bus2SrcPriPathStatus :</t>
  </si>
  <si>
    <t>Basic conditions ............ 100.0% (6/6)</t>
  </si>
  <si>
    <t>Determine_Own235Bus2SrcSecPathStatus :</t>
  </si>
  <si>
    <t>Determine_V235Bus2SrcPath_Init :</t>
  </si>
  <si>
    <t>Determine_V235Bus2SrcPath :</t>
  </si>
  <si>
    <t>Determine_V235Bus2SrcPathStatus_Init :</t>
  </si>
  <si>
    <t>Determine_V235Bus2SrcPathStatus :</t>
  </si>
  <si>
    <t>Find_Own235BusCurrSrc_Init :</t>
  </si>
  <si>
    <t>Find_Own235BusCurrSrc :</t>
  </si>
  <si>
    <t>Get_Own235BusCurrSrc_Init :</t>
  </si>
  <si>
    <t>Get_Own235BusCurrSrc :</t>
  </si>
  <si>
    <t>OWN235BUSCURRSRC</t>
  </si>
  <si>
    <t>OWN235BUSRAWTARSRC.C :</t>
  </si>
  <si>
    <t>Statement blocks ............ 100.0% (90/90)</t>
  </si>
  <si>
    <t>Decisions ................... 100.0% (93/93)</t>
  </si>
  <si>
    <t>Basic conditions ............  98.3% (228/232)</t>
  </si>
  <si>
    <t>Modified conditions .........  94.5% (103/109)</t>
  </si>
  <si>
    <t>gcu_power_transfer_Select_AdjLBusSrc :</t>
  </si>
  <si>
    <t>Modified conditions ......... 100.0% (3/3)</t>
  </si>
  <si>
    <t>gcu_power_transfer_Reevaluate_235BusTarSrc :</t>
  </si>
  <si>
    <t>Statement blocks ............ 100.0% (15/15)</t>
  </si>
  <si>
    <t>Decisions ................... 100.0% (15/15)</t>
  </si>
  <si>
    <t>Basic conditions ............ 100.0% (28/28)</t>
  </si>
  <si>
    <t>Modified conditions ......... 100.0% (11/11)</t>
  </si>
  <si>
    <t>gcu_power_transfer_Select_OwnSrc :</t>
  </si>
  <si>
    <t>Basic conditions ............ 100.0% (12/12)</t>
  </si>
  <si>
    <t>Modified conditions ......... 100.0% (5/5)</t>
  </si>
  <si>
    <t>gcu_power_transfer_QueueTarSrc_115to235Xfer :</t>
  </si>
  <si>
    <t>Statement blocks ............ 100.0% (14/14)</t>
  </si>
  <si>
    <t>Modified conditions ......... 100.0% (12/12)</t>
  </si>
  <si>
    <t>gcu_power_transfer_QueueTarSrc_115to235Xfer_AdjLBu :</t>
  </si>
  <si>
    <t>Statement blocks ............ 100.0% (10/10)</t>
  </si>
  <si>
    <t>gcu_power_transfer_Select_AdjRBusSrc :</t>
  </si>
  <si>
    <t>gcu_power_transfer_QueueTarSrc_115to235Xfer_AdjRBu :</t>
  </si>
  <si>
    <t>gcu_power_transfer_Find_Own235BusRawTarSrc_Init :</t>
  </si>
  <si>
    <t>gcu_power_transfer_Find_Own235BusRawTarSrc :</t>
  </si>
  <si>
    <t>Statement blocks ............ 100.0% (25/25)</t>
  </si>
  <si>
    <t>Basic conditions ............  96.2% (100/104)</t>
  </si>
  <si>
    <t>"AdjRBusRawTarSrcSecPathStatus" True, line 555</t>
  </si>
  <si>
    <t>"DualASGConfig" False, line 555</t>
  </si>
  <si>
    <t>"AdjLBusRawTarSrcSecPathStatus" True, line 567</t>
  </si>
  <si>
    <t>"DualASGConfig" False, line 567</t>
  </si>
  <si>
    <t>Modified conditions .........  88.2% (45/51)</t>
  </si>
  <si>
    <t>"AdjRBusRawTarSrcPriPathStatus" #5 (TTTXFXX=T/TTTXTFF=F), (TTTXFXX=T/TTTXTTX=F), (TTFTFXX=T/TTFTTFF=F), (TTFTFXX=T/TTFTTTX=F), line 554</t>
  </si>
  <si>
    <t>"AdjRBusRawTarSrcSecPathStatus" #6 (TTTXTFT=T/TTTXTTX=F), (TTFTTFT=T/TTFTTTX=F), line 555</t>
  </si>
  <si>
    <t>"DualASGConfig" #7 (TTTXTFT=T/TTTXTFF=F), (TTFTTFT=T/TTFTTFF=F), line 555</t>
  </si>
  <si>
    <t>"AdjLBusRawTarSrcPriPathStatus" #5 (TTTXFXX=T/TTTXTFF=F), (TTTXFXX=T/TTTXTTX=F), (TTFTFXX=T/TTFTTFF=F), (TTFTFXX=T/TTFTTTX=F), line 566</t>
  </si>
  <si>
    <t>"AdjLBusRawTarSrcSecPathStatus" #6 (TTTXTFT=T/TTTXTTX=F), (TTFTTFT=T/TTFTTTX=F), line 567</t>
  </si>
  <si>
    <t>"DualASGConfig" #7 (TTTXTFT=T/TTTXTFF=F), (TTFTTFT=T/TTFTTFF=F), line 567</t>
  </si>
  <si>
    <t>Find_Own235BusRawTarSrc_Init :</t>
  </si>
  <si>
    <t>Find_Own235BusRawTarSrc :</t>
  </si>
  <si>
    <t>OWN235BUSRAWTARSRC</t>
  </si>
  <si>
    <t>OWN235BUSSTATE.C :</t>
  </si>
  <si>
    <t>Get_Own235BusState :</t>
  </si>
  <si>
    <t>OWN235BUSSTATE</t>
  </si>
  <si>
    <t>OWN235BUSTARSRC.C :</t>
  </si>
  <si>
    <t>Determine_Own235BusTarSrc_Init :</t>
  </si>
  <si>
    <t>Determine_Own235BusTarSrc :</t>
  </si>
  <si>
    <t>OWN235BUSTARSRC</t>
  </si>
  <si>
    <t>OWN235BUSXFER.C :</t>
  </si>
  <si>
    <t>Own235BusXfer_Init :</t>
  </si>
  <si>
    <t>Own235BusXfer_Disable :</t>
  </si>
  <si>
    <t>Own235BusXfer_Start :</t>
  </si>
  <si>
    <t>Own235BusXfer :</t>
  </si>
  <si>
    <t>OWN235BUSXFER</t>
  </si>
  <si>
    <t>OWN235BUSXFER_MANAGER.C :</t>
  </si>
  <si>
    <t>Own235BusXfer_Manager_Init :</t>
  </si>
  <si>
    <t>Own235BusXfer_Manager_Disable :</t>
  </si>
  <si>
    <t>Own235BusXfer_Manager_Start :</t>
  </si>
  <si>
    <t>Own235BusXfer_Manager :</t>
  </si>
  <si>
    <t>OWN235BUSXFER_MANAGER</t>
  </si>
  <si>
    <t>OWN270BUS.C :</t>
  </si>
  <si>
    <t>Is_FwdEPSrcSelected :</t>
  </si>
  <si>
    <t>Is_V235SrcAvailable :</t>
  </si>
  <si>
    <t>OWN270BUS</t>
  </si>
  <si>
    <t>OWNSRCAVAILABILITY.C :</t>
  </si>
  <si>
    <t>Decisions ................... 100.0% (14/14)</t>
  </si>
  <si>
    <t>Basic conditions ............ 100.0% (50/50)</t>
  </si>
  <si>
    <t>VFSG_Availability_Init :</t>
  </si>
  <si>
    <t>VFSG_Availability_Start :</t>
  </si>
  <si>
    <t>VFSG_Availability :</t>
  </si>
  <si>
    <t>ASG_Availability_Init :</t>
  </si>
  <si>
    <t>ASG_Availability_Start :</t>
  </si>
  <si>
    <t>ASG_Availability :</t>
  </si>
  <si>
    <t>Basic conditions ............ 100.0% (36/36)</t>
  </si>
  <si>
    <t>Own_SrcAvailability_Start :</t>
  </si>
  <si>
    <t>Own_SrcAvailability :</t>
  </si>
  <si>
    <t>OWNSRCAVAILABILITY</t>
  </si>
  <si>
    <t>PERFORM_235BUSXFER.C :</t>
  </si>
  <si>
    <t>Statement blocks ............ 100.0% (89/89)</t>
  </si>
  <si>
    <t>Decisions ................... 100.0% (98/98)</t>
  </si>
  <si>
    <t>Basic conditions ............ 100.0% (134/134)</t>
  </si>
  <si>
    <t>Modified conditions ......... 100.0% (39/39)</t>
  </si>
  <si>
    <t>gcu_power_transfer_Close_Cmd :</t>
  </si>
  <si>
    <t>gcu_power_transfer_Open_Cmd :</t>
  </si>
  <si>
    <t>gcu_power_transfer_Is_ReconfigCommand :</t>
  </si>
  <si>
    <t>gcu_power_transfer_Verify_Close_Cmd :</t>
  </si>
  <si>
    <t>Basic conditions ............ 100.0% (16/16)</t>
  </si>
  <si>
    <t>gcu_power_transfer_Is_BusIsolated :</t>
  </si>
  <si>
    <t>gcu_power_transfer_Is_AllowFTCTimerExpired :</t>
  </si>
  <si>
    <t>gcu_power_transfer_V235Xfer_Manager_Init :</t>
  </si>
  <si>
    <t>gcu_power_transfer_V235Xfer_Manager :</t>
  </si>
  <si>
    <t>Statement blocks ............ 100.0% (42/42)</t>
  </si>
  <si>
    <t>Implicit blocks ............. 100.0% (5/5)</t>
  </si>
  <si>
    <t>Basic conditions ............ 100.0% (70/70)</t>
  </si>
  <si>
    <t>Modified conditions ......... 100.0% (19/19)</t>
  </si>
  <si>
    <t>Perform_235BusXfer_Init :</t>
  </si>
  <si>
    <t>Perform_235BusXfer :</t>
  </si>
  <si>
    <t>PERFORM_235BUSXFER</t>
  </si>
  <si>
    <t>PHSEQPROTECTION.C :</t>
  </si>
  <si>
    <t>PhSeqProtection_Init :</t>
  </si>
  <si>
    <t>PhSeqProtection :</t>
  </si>
  <si>
    <t>PHSEQPROTECTION</t>
  </si>
  <si>
    <t>PORMAINTENANCE.C :</t>
  </si>
  <si>
    <t>Statement blocks ............ 100.0% (13/13)</t>
  </si>
  <si>
    <t>Basic conditions ............ 100.0% (23/23)</t>
  </si>
  <si>
    <t>PorMaintenance :</t>
  </si>
  <si>
    <t>PORMAINTENANCE</t>
  </si>
  <si>
    <t>PROTECTIONFLTLTCH.C :</t>
  </si>
  <si>
    <t>Statement blocks ............ 100.0% (6/6)</t>
  </si>
  <si>
    <t>Decisions ................... 100.0% (6/6)</t>
  </si>
  <si>
    <t>Basic conditions ............ 100.0% (176/176)</t>
  </si>
  <si>
    <t>Modified conditions ......... 100.0% (87/87)</t>
  </si>
  <si>
    <t>ProtectionFltLtch_Init :</t>
  </si>
  <si>
    <t>ProtectionFltLtch_Start :</t>
  </si>
  <si>
    <t>ProtectionFltLtch :</t>
  </si>
  <si>
    <t>ProtectionFltLtch_Term :</t>
  </si>
  <si>
    <t>PROTECTIONFLTLTCH</t>
  </si>
  <si>
    <t>PWRUP_OPTSTS_BITE_EXECUTIVE.C :</t>
  </si>
  <si>
    <t>mr_pwrup_optsts_bite_executive :</t>
  </si>
  <si>
    <t>mr_pwrup_optsts_bite_executive_initialize :</t>
  </si>
  <si>
    <t>PWRUP_OPTSTS_BITE_EXECUTIVE</t>
  </si>
  <si>
    <t>PWRUPOPTST.C :</t>
  </si>
  <si>
    <t>Statement blocks ............ 100.0% (51/51)</t>
  </si>
  <si>
    <t>Decisions ................... 100.0% (51/51)</t>
  </si>
  <si>
    <t>Basic conditions ............ 100.0% (79/79)</t>
  </si>
  <si>
    <t>Modified conditions ......... 100.0% (25/25)</t>
  </si>
  <si>
    <t>gcu_pwrup_optsts_Is_OpTstRdy :</t>
  </si>
  <si>
    <t>gcu_pwrup_optsts_Is_OpTstTimedOut :</t>
  </si>
  <si>
    <t>gcu_pwrup_optsts_Is_OpTstMode1Complete :</t>
  </si>
  <si>
    <t>gcu_pwrup_optsts_Is_OpTstMode2Complete :</t>
  </si>
  <si>
    <t>gcu_pwrup_optsts_Is_OpTstMode3Complete :</t>
  </si>
  <si>
    <t>gcu_pwrup_optsts_Is_OpTstMode4Complete :</t>
  </si>
  <si>
    <t>PwrUpOpTst_Scheduler_Init :</t>
  </si>
  <si>
    <t>PwrUpOpTst_Scheduler :</t>
  </si>
  <si>
    <t>Statement blocks ............ 100.0% (28/28)</t>
  </si>
  <si>
    <t>Decisions ................... 100.0% (28/28)</t>
  </si>
  <si>
    <t>Basic conditions ............ 100.0% (39/39)</t>
  </si>
  <si>
    <t>PwrUpOpTst_Init :</t>
  </si>
  <si>
    <t>PwrUpOpTst :</t>
  </si>
  <si>
    <t>PWRUPOPTST</t>
  </si>
  <si>
    <t>PWRUPOPTSTATUCCONTACTORDRIVER.C :</t>
  </si>
  <si>
    <t>Decisions ................... 100.0% (16/16)</t>
  </si>
  <si>
    <t>PwrUpOpTst_ATUC_ContactorDriver_Init :</t>
  </si>
  <si>
    <t>PwrUpOpTst_ATUC_ContactorDriver :</t>
  </si>
  <si>
    <t>PWRUPOPTSTATUCCONTACTORDRIVER</t>
  </si>
  <si>
    <t>PWRUPOPTSTCONTINUOUS.C :</t>
  </si>
  <si>
    <t>Basic conditions ............ 100.0% (19/19)</t>
  </si>
  <si>
    <t>OperationalTests_Is_OpTstStart :</t>
  </si>
  <si>
    <t>PwrUpOpTstContinuous_Scheduler_Init :</t>
  </si>
  <si>
    <t>PwrUpOpTstContinuous_Scheduler :</t>
  </si>
  <si>
    <t>Basic conditions ............ 100.0% (13/13)</t>
  </si>
  <si>
    <t>PwrUpOpTstContinuous_Init :</t>
  </si>
  <si>
    <t>PwrUpOpTstContinuous :</t>
  </si>
  <si>
    <t>PWRUPOPTSTCONTINUOUS</t>
  </si>
  <si>
    <t>PWRUPOPTSTCONTINUOUSTOPLEVEL.C :</t>
  </si>
  <si>
    <t>PwrUpOpTstContinuousTopLevel_Init :</t>
  </si>
  <si>
    <t>PwrUpOpTstContinuousTopLevel :</t>
  </si>
  <si>
    <t>PWRUPOPTSTCONTINUOUSTOPLEVEL</t>
  </si>
  <si>
    <t>PWRUPOPTSTMODE1.C :</t>
  </si>
  <si>
    <t>Decisions ................... 100.0% (29/29)</t>
  </si>
  <si>
    <t>Basic conditions ............ 100.0% (29/29)</t>
  </si>
  <si>
    <t>Modified conditions ......... 100.0% (7/7)</t>
  </si>
  <si>
    <t>gcu_pwrup_optsts_PwrUpOpTstMode1_L1R1GCU_Conversio :</t>
  </si>
  <si>
    <t>gcu_pwrup_optsts_PwrUpOpTstMode1_L2R2GCU_Conversio :</t>
  </si>
  <si>
    <t>PwrUpOpTstMode1Phy2LogConv_Init :</t>
  </si>
  <si>
    <t>PwrUpOpTstMode1Phy2LogConv :</t>
  </si>
  <si>
    <t>PwrUpOpTstMode1_Scheduler_Init :</t>
  </si>
  <si>
    <t>PwrUpOpTstMode1_Scheduler :</t>
  </si>
  <si>
    <t>Decisions ................... 100.0% (18/18)</t>
  </si>
  <si>
    <t>Basic conditions ............ 100.0% (21/21)</t>
  </si>
  <si>
    <t>PwrUpOpTstMode1_Init :</t>
  </si>
  <si>
    <t>PwrUpOpTstMode1 :</t>
  </si>
  <si>
    <t>PWRUPOPTSTMODE1</t>
  </si>
  <si>
    <t>PWRUPOPTSTMODE1_ATRUCELCUTRIPRQST.C :</t>
  </si>
  <si>
    <t>Statement blocks ............  88.9% (8/9)</t>
  </si>
  <si>
    <t>Decisions ...................  90.9% (10/11)</t>
  </si>
  <si>
    <t>Basic conditions ............  93.3% (14/15)</t>
  </si>
  <si>
    <t>PwrUpOpTstMode1_ATRUCELCUTripRqst_Init :</t>
  </si>
  <si>
    <t>PwrUpOpTstMode1_ATRUCELCUTripRqst :</t>
  </si>
  <si>
    <t>Statement blocks ............  87.5% (7/8)</t>
  </si>
  <si>
    <t>/else/then, line 151</t>
  </si>
  <si>
    <t>Decisions ...................  90.0% (9/10)</t>
  </si>
  <si>
    <t>"(type-cast)(0)" True, line 151</t>
  </si>
  <si>
    <t>PWRUPOPTSTMODE1_ATRUCELCUTRIPR</t>
  </si>
  <si>
    <t>PWRUPOPTSTMODE1_ATUC.C :</t>
  </si>
  <si>
    <t>Statement blocks ............  96.8% (30/31)</t>
  </si>
  <si>
    <t>Decisions ...................  97.1% (34/35)</t>
  </si>
  <si>
    <t>Basic conditions ............  97.8% (44/45)</t>
  </si>
  <si>
    <t>Modified conditions ......... 100.0% (9/9)</t>
  </si>
  <si>
    <t>PwrUpOpTstMode1_ATUC_Init :</t>
  </si>
  <si>
    <t>PwrUpOpTstMode1_ATUC :</t>
  </si>
  <si>
    <t>Statement blocks ............  96.7% (29/30)</t>
  </si>
  <si>
    <t>/else/then, line 221</t>
  </si>
  <si>
    <t>Decisions ...................  97.1% (33/34)</t>
  </si>
  <si>
    <t>"(type-cast)(0)" True, line 221</t>
  </si>
  <si>
    <t>PWRUPOPTSTMODE1_ATUC</t>
  </si>
  <si>
    <t>PWRUPOPTSTMODE1_ATUCELCUTRIPRQST.C :</t>
  </si>
  <si>
    <t>PwrUpOpTstMode1_ATUCELCUTripRqst_Init :</t>
  </si>
  <si>
    <t>PwrUpOpTstMode1_ATUCELCUTripRqst :</t>
  </si>
  <si>
    <t>/else/then, line 137</t>
  </si>
  <si>
    <t>"(type-cast)(0)" True, line 137</t>
  </si>
  <si>
    <t>PWRUPOPTSTMODE1_ATUCELCUTRIPRQ</t>
  </si>
  <si>
    <t>PWRUPOPTSTMODE2.C :</t>
  </si>
  <si>
    <t>Statement blocks ............ 100.0% (18/18)</t>
  </si>
  <si>
    <t>PwrUpOpTstMode2_Scheduler_Init :</t>
  </si>
  <si>
    <t>PwrUpOpTstMode2_Scheduler :</t>
  </si>
  <si>
    <t>PwrUpOpTstMode2_Init :</t>
  </si>
  <si>
    <t>PwrUpOpTstMode2 :</t>
  </si>
  <si>
    <t>PWRUPOPTSTMODE2</t>
  </si>
  <si>
    <t>PWRUPOPTSTMODE2_ATUCELCUTRIPRQST.C :</t>
  </si>
  <si>
    <t>PwrUpOpTstMode2_ATUCELCUTripRqst_Init :</t>
  </si>
  <si>
    <t>PwrUpOpTstMode2_ATUCELCUTripRqst :</t>
  </si>
  <si>
    <t>PWRUPOPTSTMODE2_ATUCELCUTRIPRQ</t>
  </si>
  <si>
    <t>PWRUPOPTSTMODE2_TIEBTB.C :</t>
  </si>
  <si>
    <t>PwrUpOpTstMode2_TieBTB_Init :</t>
  </si>
  <si>
    <t>PwrUpOpTstMode2_TieBTB :</t>
  </si>
  <si>
    <t>/else/then, line 225</t>
  </si>
  <si>
    <t>"(type-cast)(0)" True, line 225</t>
  </si>
  <si>
    <t>PWRUPOPTSTMODE2_TIEBTB</t>
  </si>
  <si>
    <t>PWRUPOPTSTMODE3.C :</t>
  </si>
  <si>
    <t>PwrUpOpTstMode3_Scheduler_Init :</t>
  </si>
  <si>
    <t>PwrUpOpTstMode3_Scheduler :</t>
  </si>
  <si>
    <t>Statement blocks ............ 100.0% (11/11)</t>
  </si>
  <si>
    <t>Decisions ................... 100.0% (13/13)</t>
  </si>
  <si>
    <t>PwrUpOpTstMode3_Init :</t>
  </si>
  <si>
    <t>PwrUpOpTstMode3 :</t>
  </si>
  <si>
    <t>PWRUPOPTSTMODE3</t>
  </si>
  <si>
    <t>PWRUPOPTSTMODE3_TIEBTB.C :</t>
  </si>
  <si>
    <t>PwrUpOpTstMode3_TieBTB_Init :</t>
  </si>
  <si>
    <t>PwrUpOpTstMode3_TieBTB :</t>
  </si>
  <si>
    <t>PWRUPOPTSTMODE3_TIEBTB</t>
  </si>
  <si>
    <t>PWRUPOPTSTMODE4.C :</t>
  </si>
  <si>
    <t>PwrUpOpTstMode4_Scheduler_Init :</t>
  </si>
  <si>
    <t>PwrUpOpTstMode4_Scheduler :</t>
  </si>
  <si>
    <t>PwrUpOpTstMode4_Init :</t>
  </si>
  <si>
    <t>PwrUpOpTstMode4 :</t>
  </si>
  <si>
    <t>PWRUPOPTSTMODE4</t>
  </si>
  <si>
    <t>PWRUPOPTSTMODE4_ATUC.C :</t>
  </si>
  <si>
    <t>Statement blocks ............  84.6% (11/13)</t>
  </si>
  <si>
    <t>Decisions ...................  87.5% (14/16)</t>
  </si>
  <si>
    <t>Basic conditions ............  90.0% (18/20)</t>
  </si>
  <si>
    <t>PwrUpOpTstMode4_ATUC_Init :</t>
  </si>
  <si>
    <t>PwrUpOpTstMode4_ATUC :</t>
  </si>
  <si>
    <t>Statement blocks ............  83.3% (10/12)</t>
  </si>
  <si>
    <t>/else/then, line 163</t>
  </si>
  <si>
    <t>/else/then, line 173</t>
  </si>
  <si>
    <t>"(type-cast)(0)" True, line 163</t>
  </si>
  <si>
    <t>"(type-cast)(0)" True, line 173</t>
  </si>
  <si>
    <t>PWRUPOPTSTMODE4_ATUC</t>
  </si>
  <si>
    <t>PWRUPOPTSTTIEBTBCONTACTORDRIVER.C :</t>
  </si>
  <si>
    <t>PwrUpOpTst_TieBTB_ContactorDriver_Init :</t>
  </si>
  <si>
    <t>PwrUpOpTst_TieBTB_ContactorDriver :</t>
  </si>
  <si>
    <t>PWRUPOPTSTTIEBTBCONTACTORDRIVE</t>
  </si>
  <si>
    <t>CR4689</t>
  </si>
  <si>
    <t>CR4688</t>
  </si>
  <si>
    <t>CR4722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</si>
</sst>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sz val="8"/>
      <name val="Arial"/>
      <family val="2"/>
    </font>
    <font>
      <u/>
      <sz val="10"/>
      <color indexed="12"/>
      <name val="Arial"/>
      <family val="2"/>
    </font>
    <font>
      <b/>
      <sz val="10"/>
      <color indexed="9"/>
      <name val="Courier New"/>
      <family val="3"/>
    </font>
    <font>
      <b/>
      <sz val="8"/>
      <color indexed="9"/>
      <name val="Courier New"/>
      <family val="3"/>
    </font>
    <font>
      <sz val="8"/>
      <name val="Courier New"/>
      <family val="3"/>
    </font>
    <font>
      <b/>
      <sz val="8"/>
      <name val="Courier New"/>
      <family val="3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thin">
        <color indexed="9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64"/>
      </left>
      <right style="medium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dashed">
        <color indexed="9"/>
      </left>
      <right/>
      <top style="dashed">
        <color indexed="9"/>
      </top>
      <bottom/>
      <diagonal/>
    </border>
    <border>
      <left style="dashed">
        <color indexed="9"/>
      </left>
      <right/>
      <top/>
      <bottom style="dashed">
        <color indexed="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31">
    <xf numFmtId="0" fontId="0" fillId="0" borderId="0" xfId="0"/>
    <xf numFmtId="0" fontId="3" fillId="2" borderId="1" xfId="0" applyFont="1" applyFill="1" applyBorder="1" applyAlignment="1">
      <alignment wrapText="1"/>
    </xf>
    <xf numFmtId="0" fontId="3" fillId="2" borderId="2" xfId="0" applyFont="1" applyFill="1" applyBorder="1" applyAlignment="1">
      <alignment wrapText="1"/>
    </xf>
    <xf numFmtId="0" fontId="3" fillId="2" borderId="3" xfId="0" applyFont="1" applyFill="1" applyBorder="1" applyAlignment="1">
      <alignment wrapText="1"/>
    </xf>
    <xf numFmtId="0" fontId="4" fillId="2" borderId="4" xfId="0" applyFont="1" applyFill="1" applyBorder="1" applyAlignment="1">
      <alignment wrapText="1"/>
    </xf>
    <xf numFmtId="0" fontId="5" fillId="0" borderId="0" xfId="0" applyFont="1" applyFill="1" applyBorder="1"/>
    <xf numFmtId="0" fontId="4" fillId="2" borderId="5" xfId="0" applyFont="1" applyFill="1" applyBorder="1" applyAlignment="1">
      <alignment wrapText="1"/>
    </xf>
    <xf numFmtId="0" fontId="5" fillId="3" borderId="0" xfId="0" applyFont="1" applyFill="1" applyBorder="1"/>
    <xf numFmtId="0" fontId="4" fillId="2" borderId="0" xfId="0" applyFont="1" applyFill="1" applyBorder="1" applyAlignment="1">
      <alignment wrapText="1"/>
    </xf>
    <xf numFmtId="0" fontId="2" fillId="0" borderId="0" xfId="1" applyAlignment="1" applyProtection="1"/>
    <xf numFmtId="0" fontId="5" fillId="3" borderId="6" xfId="0" applyFont="1" applyFill="1" applyBorder="1"/>
    <xf numFmtId="0" fontId="0" fillId="0" borderId="0" xfId="0" applyFill="1" applyBorder="1"/>
    <xf numFmtId="0" fontId="5" fillId="3" borderId="7" xfId="0" applyFont="1" applyFill="1" applyBorder="1"/>
    <xf numFmtId="0" fontId="5" fillId="0" borderId="8" xfId="0" applyFont="1" applyFill="1" applyBorder="1"/>
    <xf numFmtId="0" fontId="6" fillId="0" borderId="8" xfId="0" applyFont="1" applyFill="1" applyBorder="1" applyAlignment="1">
      <alignment horizontal="right" wrapText="1"/>
    </xf>
    <xf numFmtId="0" fontId="5" fillId="0" borderId="9" xfId="0" applyFont="1" applyFill="1" applyBorder="1"/>
    <xf numFmtId="0" fontId="5" fillId="0" borderId="10" xfId="0" applyFont="1" applyFill="1" applyBorder="1"/>
    <xf numFmtId="0" fontId="5" fillId="0" borderId="11" xfId="0" applyFont="1" applyFill="1" applyBorder="1"/>
    <xf numFmtId="0" fontId="6" fillId="0" borderId="12" xfId="0" applyNumberFormat="1" applyFont="1" applyFill="1" applyBorder="1" applyAlignment="1">
      <alignment wrapText="1"/>
    </xf>
    <xf numFmtId="0" fontId="5" fillId="0" borderId="13" xfId="0" applyNumberFormat="1" applyFont="1" applyFill="1" applyBorder="1"/>
    <xf numFmtId="0" fontId="6" fillId="0" borderId="14" xfId="0" applyNumberFormat="1" applyFont="1" applyFill="1" applyBorder="1" applyAlignment="1">
      <alignment wrapText="1"/>
    </xf>
    <xf numFmtId="0" fontId="5" fillId="0" borderId="15" xfId="0" applyNumberFormat="1" applyFont="1" applyFill="1" applyBorder="1"/>
    <xf numFmtId="0" fontId="6" fillId="0" borderId="16" xfId="0" applyNumberFormat="1" applyFont="1" applyFill="1" applyBorder="1" applyAlignment="1">
      <alignment wrapText="1"/>
    </xf>
    <xf numFmtId="0" fontId="5" fillId="0" borderId="17" xfId="0" applyFont="1" applyFill="1" applyBorder="1"/>
    <xf numFmtId="0" fontId="6" fillId="3" borderId="18" xfId="0" applyFont="1" applyFill="1" applyBorder="1" applyAlignment="1">
      <alignment wrapText="1"/>
    </xf>
    <xf numFmtId="0" fontId="6" fillId="3" borderId="8" xfId="0" applyFont="1" applyFill="1" applyBorder="1" applyAlignment="1">
      <alignment wrapText="1"/>
    </xf>
    <xf numFmtId="0" fontId="5" fillId="3" borderId="18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2" fillId="0" borderId="0" xfId="1" applyFill="1" applyBorder="1" applyAlignment="1" applyProtection="1"/>
    <xf numFmtId="0" fontId="7" fillId="0" borderId="0" xfId="0" applyFont="1"/>
  </cellXfs>
  <cellStyles count="2">
    <cellStyle name="Hyperlink" xfId="1" builtinId="8"/>
    <cellStyle name="Normal" xfId="0" builtinId="0"/>
  </cellStyles>
  <dxfs count="102"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8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2</xdr:row>
          <xdr:rowOff>9525</xdr:rowOff>
        </xdr:from>
        <xdr:to>
          <xdr:col>4</xdr:col>
          <xdr:colOff>514350</xdr:colOff>
          <xdr:row>4</xdr:row>
          <xdr:rowOff>19050</xdr:rowOff>
        </xdr:to>
        <xdr:sp macro="" textlink="">
          <xdr:nvSpPr>
            <xdr:cNvPr id="29699" name="importButton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</xdr:row>
          <xdr:rowOff>47625</xdr:rowOff>
        </xdr:from>
        <xdr:to>
          <xdr:col>7</xdr:col>
          <xdr:colOff>495300</xdr:colOff>
          <xdr:row>3</xdr:row>
          <xdr:rowOff>152400</xdr:rowOff>
        </xdr:to>
        <xdr:sp macro="" textlink="">
          <xdr:nvSpPr>
            <xdr:cNvPr id="29720" name="FuncAreaList" hidden="1">
              <a:extLst>
                <a:ext uri="{63B3BB69-23CF-44E3-9099-C40C66FF867C}">
                  <a14:compatExt spid="_x0000_s29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</xdr:row>
          <xdr:rowOff>180975</xdr:rowOff>
        </xdr:from>
        <xdr:to>
          <xdr:col>4</xdr:col>
          <xdr:colOff>1352550</xdr:colOff>
          <xdr:row>2</xdr:row>
          <xdr:rowOff>219075</xdr:rowOff>
        </xdr:to>
        <xdr:sp macro="" textlink="">
          <xdr:nvSpPr>
            <xdr:cNvPr id="231427" name="CommandButton1" hidden="1">
              <a:extLst>
                <a:ext uri="{63B3BB69-23CF-44E3-9099-C40C66FF867C}">
                  <a14:compatExt spid="_x0000_s23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K110"/>
  <sheetViews>
    <sheetView workbookViewId="0">
      <selection activeCell="B23" sqref="B23"/>
    </sheetView>
  </sheetViews>
  <sheetFormatPr defaultRowHeight="12.75" x14ac:dyDescent="0.2"/>
  <cols>
    <col min="2" max="2" width="44.42578125" customWidth="1"/>
    <col min="11" max="11" width="13.140625" hidden="1" customWidth="1"/>
  </cols>
  <sheetData>
    <row r="2" spans="1:11" x14ac:dyDescent="0.2">
      <c r="K2" s="30" t="s">
        <v>671</v>
      </c>
    </row>
    <row r="3" spans="1:11" x14ac:dyDescent="0.2">
      <c r="B3" s="9" t="s">
        <v>717</v>
      </c>
      <c r="K3" s="30" t="s">
        <v>672</v>
      </c>
    </row>
    <row r="4" spans="1:11" x14ac:dyDescent="0.2">
      <c r="B4" s="9" t="s">
        <v>722</v>
      </c>
      <c r="J4" t="s">
        <v>0</v>
      </c>
      <c r="K4" s="30" t="s">
        <v>673</v>
      </c>
    </row>
    <row r="5" spans="1:11" x14ac:dyDescent="0.2">
      <c r="A5" s="9"/>
      <c r="B5" s="9" t="s">
        <v>749</v>
      </c>
      <c r="K5" s="30" t="s">
        <v>674</v>
      </c>
    </row>
    <row r="6" spans="1:11" x14ac:dyDescent="0.2">
      <c r="B6" s="9" t="s">
        <v>765</v>
      </c>
      <c r="K6" s="30" t="s">
        <v>675</v>
      </c>
    </row>
    <row r="7" spans="1:11" x14ac:dyDescent="0.2">
      <c r="B7" s="9" t="s">
        <v>781</v>
      </c>
      <c r="K7" s="30" t="s">
        <v>676</v>
      </c>
    </row>
    <row r="8" spans="1:11" x14ac:dyDescent="0.2">
      <c r="B8" s="9" t="s">
        <v>790</v>
      </c>
      <c r="K8" s="30" t="s">
        <v>677</v>
      </c>
    </row>
    <row r="9" spans="1:11" x14ac:dyDescent="0.2">
      <c r="B9" s="9" t="s">
        <v>795</v>
      </c>
      <c r="K9" s="30" t="s">
        <v>678</v>
      </c>
    </row>
    <row r="10" spans="1:11" x14ac:dyDescent="0.2">
      <c r="B10" s="9" t="s">
        <v>799</v>
      </c>
      <c r="K10" s="30"/>
    </row>
    <row r="11" spans="1:11" x14ac:dyDescent="0.2">
      <c r="B11" s="9" t="s">
        <v>802</v>
      </c>
      <c r="K11" s="30"/>
    </row>
    <row r="12" spans="1:11" x14ac:dyDescent="0.2">
      <c r="B12" s="9" t="s">
        <v>808</v>
      </c>
      <c r="K12" s="30"/>
    </row>
    <row r="13" spans="1:11" x14ac:dyDescent="0.2">
      <c r="B13" s="9" t="s">
        <v>819</v>
      </c>
      <c r="K13" s="30"/>
    </row>
    <row r="14" spans="1:11" x14ac:dyDescent="0.2">
      <c r="B14" s="9" t="s">
        <v>829</v>
      </c>
      <c r="K14" s="30"/>
    </row>
    <row r="15" spans="1:11" x14ac:dyDescent="0.2">
      <c r="B15" s="9" t="s">
        <v>837</v>
      </c>
      <c r="K15" s="30"/>
    </row>
    <row r="16" spans="1:11" x14ac:dyDescent="0.2">
      <c r="B16" s="9" t="s">
        <v>844</v>
      </c>
      <c r="K16" s="30"/>
    </row>
    <row r="17" spans="2:11" x14ac:dyDescent="0.2">
      <c r="B17" s="9" t="s">
        <v>854</v>
      </c>
      <c r="K17" s="30"/>
    </row>
    <row r="18" spans="2:11" x14ac:dyDescent="0.2">
      <c r="B18" s="9" t="s">
        <v>859</v>
      </c>
      <c r="K18" s="30"/>
    </row>
    <row r="19" spans="2:11" x14ac:dyDescent="0.2">
      <c r="B19" s="9" t="s">
        <v>877</v>
      </c>
      <c r="K19" s="30"/>
    </row>
    <row r="20" spans="2:11" x14ac:dyDescent="0.2">
      <c r="B20" s="9" t="s">
        <v>883</v>
      </c>
      <c r="K20" s="30"/>
    </row>
    <row r="21" spans="2:11" x14ac:dyDescent="0.2">
      <c r="B21" s="9" t="s">
        <v>887</v>
      </c>
      <c r="K21" s="30"/>
    </row>
    <row r="22" spans="2:11" x14ac:dyDescent="0.2">
      <c r="B22" s="9" t="s">
        <v>903</v>
      </c>
      <c r="K22" s="30"/>
    </row>
    <row r="23" spans="2:11" x14ac:dyDescent="0.2">
      <c r="B23" s="9" t="s">
        <v>943</v>
      </c>
      <c r="K23" s="30"/>
    </row>
    <row r="24" spans="2:11" x14ac:dyDescent="0.2">
      <c r="B24" s="9" t="s">
        <v>946</v>
      </c>
      <c r="K24" s="30"/>
    </row>
    <row r="25" spans="2:11" x14ac:dyDescent="0.2">
      <c r="B25" s="9" t="s">
        <v>950</v>
      </c>
      <c r="K25" s="30"/>
    </row>
    <row r="26" spans="2:11" x14ac:dyDescent="0.2">
      <c r="B26" s="9" t="s">
        <v>956</v>
      </c>
      <c r="K26" s="30"/>
    </row>
    <row r="27" spans="2:11" x14ac:dyDescent="0.2">
      <c r="B27" s="9" t="s">
        <v>962</v>
      </c>
      <c r="K27" s="30"/>
    </row>
    <row r="28" spans="2:11" x14ac:dyDescent="0.2">
      <c r="B28" s="9" t="s">
        <v>966</v>
      </c>
      <c r="K28" s="30"/>
    </row>
    <row r="29" spans="2:11" x14ac:dyDescent="0.2">
      <c r="B29" s="9" t="s">
        <v>979</v>
      </c>
      <c r="K29" s="30"/>
    </row>
    <row r="30" spans="2:11" x14ac:dyDescent="0.2">
      <c r="B30" s="9" t="s">
        <v>1000</v>
      </c>
    </row>
    <row r="31" spans="2:11" x14ac:dyDescent="0.2">
      <c r="B31" s="9" t="s">
        <v>1004</v>
      </c>
    </row>
    <row r="32" spans="2:11" x14ac:dyDescent="0.2">
      <c r="B32" s="9" t="s">
        <v>1009</v>
      </c>
    </row>
    <row r="33" spans="2:2" x14ac:dyDescent="0.2">
      <c r="B33" s="9" t="s">
        <v>1019</v>
      </c>
    </row>
    <row r="34" spans="2:2" x14ac:dyDescent="0.2">
      <c r="B34" s="9" t="s">
        <v>1023</v>
      </c>
    </row>
    <row r="35" spans="2:2" x14ac:dyDescent="0.2">
      <c r="B35" s="9" t="s">
        <v>1042</v>
      </c>
    </row>
    <row r="36" spans="2:2" x14ac:dyDescent="0.2">
      <c r="B36" s="9" t="s">
        <v>1047</v>
      </c>
    </row>
    <row r="37" spans="2:2" x14ac:dyDescent="0.2">
      <c r="B37" s="9" t="s">
        <v>1056</v>
      </c>
    </row>
    <row r="38" spans="2:2" x14ac:dyDescent="0.2">
      <c r="B38" s="9" t="s">
        <v>1060</v>
      </c>
    </row>
    <row r="39" spans="2:2" x14ac:dyDescent="0.2">
      <c r="B39" s="9" t="s">
        <v>1075</v>
      </c>
    </row>
    <row r="40" spans="2:2" x14ac:dyDescent="0.2">
      <c r="B40" s="9" t="s">
        <v>1086</v>
      </c>
    </row>
    <row r="41" spans="2:2" x14ac:dyDescent="0.2">
      <c r="B41" s="9" t="s">
        <v>1098</v>
      </c>
    </row>
    <row r="42" spans="2:2" x14ac:dyDescent="0.2">
      <c r="B42" s="9" t="s">
        <v>1104</v>
      </c>
    </row>
    <row r="43" spans="2:2" x14ac:dyDescent="0.2">
      <c r="B43" s="9" t="s">
        <v>1111</v>
      </c>
    </row>
    <row r="44" spans="2:2" x14ac:dyDescent="0.2">
      <c r="B44" s="9" t="s">
        <v>1115</v>
      </c>
    </row>
    <row r="45" spans="2:2" x14ac:dyDescent="0.2">
      <c r="B45" s="9" t="s">
        <v>1121</v>
      </c>
    </row>
    <row r="46" spans="2:2" x14ac:dyDescent="0.2">
      <c r="B46" s="9" t="s">
        <v>1129</v>
      </c>
    </row>
    <row r="47" spans="2:2" x14ac:dyDescent="0.2">
      <c r="B47" s="9" t="s">
        <v>1133</v>
      </c>
    </row>
    <row r="48" spans="2:2" x14ac:dyDescent="0.2">
      <c r="B48" s="9" t="s">
        <v>1139</v>
      </c>
    </row>
    <row r="49" spans="2:2" x14ac:dyDescent="0.2">
      <c r="B49" s="9" t="s">
        <v>1151</v>
      </c>
    </row>
    <row r="50" spans="2:2" x14ac:dyDescent="0.2">
      <c r="B50" s="9" t="s">
        <v>1155</v>
      </c>
    </row>
    <row r="51" spans="2:2" x14ac:dyDescent="0.2">
      <c r="B51" s="9"/>
    </row>
    <row r="52" spans="2:2" x14ac:dyDescent="0.2">
      <c r="B52" s="9"/>
    </row>
    <row r="53" spans="2:2" x14ac:dyDescent="0.2">
      <c r="B53" s="9"/>
    </row>
    <row r="54" spans="2:2" x14ac:dyDescent="0.2">
      <c r="B54" s="9"/>
    </row>
    <row r="55" spans="2:2" x14ac:dyDescent="0.2">
      <c r="B55" s="9"/>
    </row>
    <row r="56" spans="2:2" x14ac:dyDescent="0.2">
      <c r="B56" s="9"/>
    </row>
    <row r="57" spans="2:2" x14ac:dyDescent="0.2">
      <c r="B57" s="9"/>
    </row>
    <row r="58" spans="2:2" x14ac:dyDescent="0.2">
      <c r="B58" s="9"/>
    </row>
    <row r="59" spans="2:2" x14ac:dyDescent="0.2">
      <c r="B59" s="9"/>
    </row>
    <row r="60" spans="2:2" x14ac:dyDescent="0.2">
      <c r="B60" s="9"/>
    </row>
    <row r="61" spans="2:2" x14ac:dyDescent="0.2">
      <c r="B61" s="9"/>
    </row>
    <row r="62" spans="2:2" x14ac:dyDescent="0.2">
      <c r="B62" s="9"/>
    </row>
    <row r="63" spans="2:2" x14ac:dyDescent="0.2">
      <c r="B63" s="9"/>
    </row>
    <row r="64" spans="2:2" x14ac:dyDescent="0.2">
      <c r="B64" s="9"/>
    </row>
    <row r="65" spans="2:2" x14ac:dyDescent="0.2">
      <c r="B65" s="9"/>
    </row>
    <row r="66" spans="2:2" x14ac:dyDescent="0.2">
      <c r="B66" s="9"/>
    </row>
    <row r="67" spans="2:2" x14ac:dyDescent="0.2">
      <c r="B67" s="9"/>
    </row>
    <row r="68" spans="2:2" x14ac:dyDescent="0.2">
      <c r="B68" s="9"/>
    </row>
    <row r="69" spans="2:2" x14ac:dyDescent="0.2">
      <c r="B69" s="9"/>
    </row>
    <row r="70" spans="2:2" x14ac:dyDescent="0.2">
      <c r="B70" s="9"/>
    </row>
    <row r="71" spans="2:2" x14ac:dyDescent="0.2">
      <c r="B71" s="9"/>
    </row>
    <row r="72" spans="2:2" x14ac:dyDescent="0.2">
      <c r="B72" s="9"/>
    </row>
    <row r="73" spans="2:2" x14ac:dyDescent="0.2">
      <c r="B73" s="9"/>
    </row>
    <row r="74" spans="2:2" x14ac:dyDescent="0.2">
      <c r="B74" s="9"/>
    </row>
    <row r="75" spans="2:2" x14ac:dyDescent="0.2">
      <c r="B75" s="9"/>
    </row>
    <row r="76" spans="2:2" x14ac:dyDescent="0.2">
      <c r="B76" s="9"/>
    </row>
    <row r="77" spans="2:2" x14ac:dyDescent="0.2">
      <c r="B77" s="9"/>
    </row>
    <row r="78" spans="2:2" x14ac:dyDescent="0.2">
      <c r="B78" s="9"/>
    </row>
    <row r="79" spans="2:2" x14ac:dyDescent="0.2">
      <c r="B79" s="9"/>
    </row>
    <row r="80" spans="2:2" x14ac:dyDescent="0.2">
      <c r="B80" s="9"/>
    </row>
    <row r="81" spans="2:2" x14ac:dyDescent="0.2">
      <c r="B81" s="9"/>
    </row>
    <row r="82" spans="2:2" x14ac:dyDescent="0.2">
      <c r="B82" s="9"/>
    </row>
    <row r="83" spans="2:2" x14ac:dyDescent="0.2">
      <c r="B83" s="9"/>
    </row>
    <row r="84" spans="2:2" x14ac:dyDescent="0.2">
      <c r="B84" s="9"/>
    </row>
    <row r="85" spans="2:2" x14ac:dyDescent="0.2">
      <c r="B85" s="9"/>
    </row>
    <row r="86" spans="2:2" x14ac:dyDescent="0.2">
      <c r="B86" s="9"/>
    </row>
    <row r="87" spans="2:2" x14ac:dyDescent="0.2">
      <c r="B87" s="9"/>
    </row>
    <row r="88" spans="2:2" x14ac:dyDescent="0.2">
      <c r="B88" s="9"/>
    </row>
    <row r="89" spans="2:2" x14ac:dyDescent="0.2">
      <c r="B89" s="9"/>
    </row>
    <row r="90" spans="2:2" x14ac:dyDescent="0.2">
      <c r="B90" s="9"/>
    </row>
    <row r="91" spans="2:2" x14ac:dyDescent="0.2">
      <c r="B91" s="9"/>
    </row>
    <row r="92" spans="2:2" x14ac:dyDescent="0.2">
      <c r="B92" s="9"/>
    </row>
    <row r="93" spans="2:2" x14ac:dyDescent="0.2">
      <c r="B93" s="9"/>
    </row>
    <row r="94" spans="2:2" x14ac:dyDescent="0.2">
      <c r="B94" s="9"/>
    </row>
    <row r="95" spans="2:2" x14ac:dyDescent="0.2">
      <c r="B95" s="9"/>
    </row>
    <row r="96" spans="2:2" x14ac:dyDescent="0.2">
      <c r="B96" s="9"/>
    </row>
    <row r="97" spans="2:2" x14ac:dyDescent="0.2">
      <c r="B97" s="9"/>
    </row>
    <row r="98" spans="2:2" x14ac:dyDescent="0.2">
      <c r="B98" s="9"/>
    </row>
    <row r="99" spans="2:2" x14ac:dyDescent="0.2">
      <c r="B99" s="9"/>
    </row>
    <row r="100" spans="2:2" x14ac:dyDescent="0.2">
      <c r="B100" s="9"/>
    </row>
    <row r="101" spans="2:2" x14ac:dyDescent="0.2">
      <c r="B101" s="9"/>
    </row>
    <row r="102" spans="2:2" x14ac:dyDescent="0.2">
      <c r="B102" s="9"/>
    </row>
    <row r="103" spans="2:2" x14ac:dyDescent="0.2">
      <c r="B103" s="9"/>
    </row>
    <row r="104" spans="2:2" x14ac:dyDescent="0.2">
      <c r="B104" s="9"/>
    </row>
    <row r="105" spans="2:2" x14ac:dyDescent="0.2">
      <c r="B105" s="9"/>
    </row>
    <row r="106" spans="2:2" x14ac:dyDescent="0.2">
      <c r="B106" s="9"/>
    </row>
    <row r="107" spans="2:2" x14ac:dyDescent="0.2">
      <c r="B107" s="9"/>
    </row>
    <row r="108" spans="2:2" x14ac:dyDescent="0.2">
      <c r="B108" s="9"/>
    </row>
    <row r="109" spans="2:2" x14ac:dyDescent="0.2">
      <c r="B109" s="9"/>
    </row>
    <row r="110" spans="2:2" x14ac:dyDescent="0.2">
      <c r="B110" s="9"/>
    </row>
  </sheetData>
  <sheetProtection selectLockedCells="1" selectUnlockedCells="1"/>
  <phoneticPr fontId="1" type="noConversion"/>
  <hyperlinks>
    <hyperlink ref="B3" location="LASTSOURCEAIR!A1" display="LASTSOURCEAIR"/>
    <hyperlink ref="B4" location="LRUPOSITION!A1" display="LRUPOSITION"/>
    <hyperlink ref="B5" location="LVPS_DETECT!A1" display="LVPS_DETECT"/>
    <hyperlink ref="B6" location="MAINENGSTART!A1" display="MAINENGSTART"/>
    <hyperlink ref="B7" location="MASTERSLAVE_AIRCRAFTMODE!A1" display="MASTERSLAVE_AIRCRAFTMODE"/>
    <hyperlink ref="B8" location="NEWV235SRC!A1" display="NEWV235SRC"/>
    <hyperlink ref="B9" location="NVM_SNAPSHOTTRIGGER!A1" display="NVM_SNAPSHOTTRIGGER"/>
    <hyperlink ref="B10" location="ONESHOTTD_FALLING_EDGE!A1" display="ONESHOTTD_FALLING_EDGE"/>
    <hyperlink ref="B11" location="ONESHOTTD_RISING_EDGE!A1" display="ONESHOTTD_RISING_EDGE"/>
    <hyperlink ref="B12" location="OPENGENCTPROTECTION!A1" display="OPENGENCTPROTECTION"/>
    <hyperlink ref="B13" location="OPERATIONALTESTS!A1" display="OPERATIONALTESTS"/>
    <hyperlink ref="B14" location="OPTSTOILDEBRISMONITOR!A1" display="OPTSTOILDEBRISMONITOR"/>
    <hyperlink ref="B15" location="OSX_POSTINITFUNC!A1" display="OSX_POSTINITFUNC"/>
    <hyperlink ref="B16" location="OUTPUT_ACTUATION!A1" display="OUTPUT_ACTUATION"/>
    <hyperlink ref="B17" location="OUTPUTPROCESSING!A1" display="OUTPUTPROCESSING"/>
    <hyperlink ref="B18" location="OVTPUISOLATION!A1" display="OVTPUISOLATION"/>
    <hyperlink ref="B19" location="OVTPUTEST!A1" display="OVTPUTEST"/>
    <hyperlink ref="B20" location="OVERPROTECTIONWITHINHIBITANDCO!A1" display="OVERPROTECTIONWITHINHIBITANDCO"/>
    <hyperlink ref="B21" location="OWN235BUS!A1" display="OWN235BUS"/>
    <hyperlink ref="B22" location="OWN235BUSCURRSRC!A1" display="OWN235BUSCURRSRC"/>
    <hyperlink ref="B23" location="OWN235BUSRAWTARSRC!A1" display="OWN235BUSRAWTARSRC"/>
    <hyperlink ref="B24" location="OWN235BUSSTATE!A1" display="OWN235BUSSTATE"/>
    <hyperlink ref="B25" location="OWN235BUSTARSRC!A1" display="OWN235BUSTARSRC"/>
    <hyperlink ref="B26" location="OWN235BUSXFER!A1" display="OWN235BUSXFER"/>
    <hyperlink ref="B27" location="OWN235BUSXFER_MANAGER!A1" display="OWN235BUSXFER_MANAGER"/>
    <hyperlink ref="B28" location="OWN270BUS!A1" display="OWN270BUS"/>
    <hyperlink ref="B29" location="OWNSRCAVAILABILITY!A1" display="OWNSRCAVAILABILITY"/>
    <hyperlink ref="B30" location="PERFORM_235BUSXFER!A1" display="PERFORM_235BUSXFER"/>
    <hyperlink ref="B31" location="PHSEQPROTECTION!A1" display="PHSEQPROTECTION"/>
    <hyperlink ref="B32" location="PORMAINTENANCE!A1" display="PORMAINTENANCE"/>
    <hyperlink ref="B33" location="PROTECTIONFLTLTCH!A1" display="PROTECTIONFLTLTCH"/>
    <hyperlink ref="B34" location="PWRUP_OPTSTS_BITE_EXECUTIVE!A1" display="PWRUP_OPTSTS_BITE_EXECUTIVE"/>
    <hyperlink ref="B35" location="PWRUPOPTST!A1" display="PWRUPOPTST"/>
    <hyperlink ref="B36" location="PWRUPOPTSTATUCCONTACTORDRIVER!A1" display="PWRUPOPTSTATUCCONTACTORDRIVER"/>
    <hyperlink ref="B37" location="PWRUPOPTSTCONTINUOUS!A1" display="PWRUPOPTSTCONTINUOUS"/>
    <hyperlink ref="B38" location="PWRUPOPTSTCONTINUOUSTOPLEVEL!A1" display="PWRUPOPTSTCONTINUOUSTOPLEVEL"/>
    <hyperlink ref="B39" location="PWRUPOPTSTMODE1!A1" display="PWRUPOPTSTMODE1"/>
    <hyperlink ref="B40" location="PWRUPOPTSTMODE1_ATRUCELCUTRIPR!A1" display="PWRUPOPTSTMODE1_ATRUCELCUTRIPR"/>
    <hyperlink ref="B41" location="PWRUPOPTSTMODE1_ATUC!A1" display="PWRUPOPTSTMODE1_ATUC"/>
    <hyperlink ref="B42" location="PWRUPOPTSTMODE1_ATUCELCUTRIPRQ!A1" display="PWRUPOPTSTMODE1_ATUCELCUTRIPRQ"/>
    <hyperlink ref="B43" location="PWRUPOPTSTMODE2!A1" display="PWRUPOPTSTMODE2"/>
    <hyperlink ref="B44" location="PWRUPOPTSTMODE2_ATUCELCUTRIPRQ!A1" display="PWRUPOPTSTMODE2_ATUCELCUTRIPRQ"/>
    <hyperlink ref="B45" location="PWRUPOPTSTMODE2_TIEBTB!A1" display="PWRUPOPTSTMODE2_TIEBTB"/>
    <hyperlink ref="B46" location="PWRUPOPTSTMODE3!A1" display="PWRUPOPTSTMODE3"/>
    <hyperlink ref="B47" location="PWRUPOPTSTMODE3_TIEBTB!A1" display="PWRUPOPTSTMODE3_TIEBTB"/>
    <hyperlink ref="B48" location="PWRUPOPTSTMODE4!A1" display="PWRUPOPTSTMODE4"/>
    <hyperlink ref="B49" location="PWRUPOPTSTMODE4_ATUC!A1" display="PWRUPOPTSTMODE4_ATUC"/>
    <hyperlink ref="B50" location="PWRUPOPTSTTIEBTBCONTACTORDRIVE!A1" display="PWRUPOPTSTTIEBTBCONTACTORDRIVE"/>
  </hyperlink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720" r:id="rId4" name="FuncAreaList">
          <controlPr autoLine="0" listFillRange="K2:K9" r:id="rId5">
            <anchor moveWithCells="1">
              <from>
                <xdr:col>5</xdr:col>
                <xdr:colOff>228600</xdr:colOff>
                <xdr:row>2</xdr:row>
                <xdr:rowOff>47625</xdr:rowOff>
              </from>
              <to>
                <xdr:col>7</xdr:col>
                <xdr:colOff>495300</xdr:colOff>
                <xdr:row>3</xdr:row>
                <xdr:rowOff>152400</xdr:rowOff>
              </to>
            </anchor>
          </controlPr>
        </control>
      </mc:Choice>
      <mc:Fallback>
        <control shapeId="29720" r:id="rId4" name="FuncAreaList"/>
      </mc:Fallback>
    </mc:AlternateContent>
    <mc:AlternateContent xmlns:mc="http://schemas.openxmlformats.org/markup-compatibility/2006">
      <mc:Choice Requires="x14">
        <control shapeId="29699" r:id="rId6" name="importButton">
          <controlPr defaultSize="0" autoLine="0" r:id="rId7">
            <anchor moveWithCells="1">
              <from>
                <xdr:col>2</xdr:col>
                <xdr:colOff>600075</xdr:colOff>
                <xdr:row>2</xdr:row>
                <xdr:rowOff>9525</xdr:rowOff>
              </from>
              <to>
                <xdr:col>4</xdr:col>
                <xdr:colOff>514350</xdr:colOff>
                <xdr:row>4</xdr:row>
                <xdr:rowOff>19050</xdr:rowOff>
              </to>
            </anchor>
          </controlPr>
        </control>
      </mc:Choice>
      <mc:Fallback>
        <control shapeId="29699" r:id="rId6" name="impor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8"/>
  <sheetViews>
    <sheetView tabSelected="1" workbookViewId="0">
      <selection activeCell="E8" sqref="E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v>872</v>
      </c>
      <c r="C2" s="15">
        <v>858</v>
      </c>
    </row>
    <row r="3" spans="1:5" ht="22.5" x14ac:dyDescent="0.2">
      <c r="A3" s="20" t="s">
        <v>15</v>
      </c>
      <c r="B3" s="21">
        <v>108</v>
      </c>
      <c r="C3" s="16">
        <v>108</v>
      </c>
      <c r="E3" s="29"/>
    </row>
    <row r="4" spans="1:5" ht="22.5" x14ac:dyDescent="0.2">
      <c r="A4" s="20" t="s">
        <v>16</v>
      </c>
      <c r="B4" s="21">
        <v>2059</v>
      </c>
      <c r="C4" s="16">
        <v>2041</v>
      </c>
      <c r="E4" s="29"/>
    </row>
    <row r="5" spans="1:5" ht="22.5" x14ac:dyDescent="0.2">
      <c r="A5" s="20" t="s">
        <v>17</v>
      </c>
      <c r="B5" s="21">
        <v>741</v>
      </c>
      <c r="C5" s="16">
        <v>735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3780</v>
      </c>
      <c r="C7" s="17">
        <f>SUM(C2:C5)</f>
        <v>3742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38</v>
      </c>
      <c r="C10" s="27"/>
    </row>
    <row r="11" spans="1:5" ht="13.5" thickBot="1" x14ac:dyDescent="0.25">
      <c r="A11" s="25" t="s">
        <v>21</v>
      </c>
      <c r="B11" s="28"/>
      <c r="C11" s="28">
        <v>0</v>
      </c>
    </row>
    <row r="12" spans="1:5" ht="23.25" thickBot="1" x14ac:dyDescent="0.25">
      <c r="A12" s="25" t="s">
        <v>22</v>
      </c>
      <c r="B12" s="28"/>
      <c r="C12" s="28">
        <v>0</v>
      </c>
    </row>
    <row r="13" spans="1:5" ht="23.25" thickBot="1" x14ac:dyDescent="0.25">
      <c r="A13" s="25" t="s">
        <v>23</v>
      </c>
      <c r="B13" s="28"/>
      <c r="C13" s="28">
        <v>0</v>
      </c>
    </row>
    <row r="14" spans="1:5" ht="23.25" thickBot="1" x14ac:dyDescent="0.25">
      <c r="A14" s="25" t="s">
        <v>24</v>
      </c>
      <c r="B14" s="28"/>
      <c r="C14" s="28">
        <v>0</v>
      </c>
    </row>
    <row r="15" spans="1:5" ht="13.5" thickBot="1" x14ac:dyDescent="0.25">
      <c r="A15" s="25" t="s">
        <v>19</v>
      </c>
      <c r="B15" s="28"/>
      <c r="C15" s="28">
        <v>38</v>
      </c>
    </row>
    <row r="16" spans="1:5" ht="23.25" thickBot="1" x14ac:dyDescent="0.25">
      <c r="A16" s="25" t="s">
        <v>20</v>
      </c>
      <c r="B16" s="28"/>
      <c r="C16" s="28">
        <v>0</v>
      </c>
    </row>
    <row r="17" spans="2:3" x14ac:dyDescent="0.2">
      <c r="B17" s="5" t="s">
        <v>26</v>
      </c>
      <c r="C17" s="5">
        <f>SUM(C11:C16)</f>
        <v>38</v>
      </c>
    </row>
    <row r="18" spans="2:3" x14ac:dyDescent="0.2">
      <c r="B18" s="5" t="s">
        <v>25</v>
      </c>
      <c r="C18" s="5">
        <f>B10-C17</f>
        <v>0</v>
      </c>
    </row>
  </sheetData>
  <phoneticPr fontId="1" type="noConversion"/>
  <conditionalFormatting sqref="C17">
    <cfRule type="cellIs" dxfId="101" priority="1" stopIfTrue="1" operator="equal">
      <formula>$B$10</formula>
    </cfRule>
    <cfRule type="cellIs" dxfId="100" priority="2" stopIfTrue="1" operator="notEqual">
      <formula>$B$10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1427" r:id="rId4" name="CommandButton1">
          <controlPr autoLine="0" r:id="rId5">
            <anchor moveWithCells="1">
              <from>
                <xdr:col>4</xdr:col>
                <xdr:colOff>200025</xdr:colOff>
                <xdr:row>1</xdr:row>
                <xdr:rowOff>180975</xdr:rowOff>
              </from>
              <to>
                <xdr:col>4</xdr:col>
                <xdr:colOff>1352550</xdr:colOff>
                <xdr:row>2</xdr:row>
                <xdr:rowOff>219075</xdr:rowOff>
              </to>
            </anchor>
          </controlPr>
        </control>
      </mc:Choice>
      <mc:Fallback>
        <control shapeId="231427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0"/>
  </sheetPr>
  <dimension ref="A1:H18"/>
  <sheetViews>
    <sheetView workbookViewId="0">
      <selection activeCell="E25" sqref="E25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0</v>
      </c>
      <c r="C2" s="15">
        <f>IF(ISERROR(VALUE(TRIM(CLEAN(MID(C20,FIND("(",C20)+1,FIND("/",C20,1)-FIND("(",C20)-1))))),0,VALUE(TRIM(CLEAN(MID(C20,FIND("(",C20)+1,FIND("/",C20,1)-FIND("(",C20)-1)))))</f>
        <v>0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0</v>
      </c>
      <c r="C4" s="16">
        <f>IF(ISERROR(VALUE(TRIM(CLEAN(MID(C23,FIND("(",C23)+1,FIND("/",C23,1)-FIND("(",C23)-1))))),0,VALUE(TRIM(CLEAN(MID(C23,FIND("(",C23)+1,FIND("/",C23,1)-FIND("(",C23)-1)))))</f>
        <v>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0</v>
      </c>
      <c r="C7" s="17">
        <f>SUM(C2:C5)</f>
        <v>0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</sheetData>
  <autoFilter ref="A18:H18"/>
  <phoneticPr fontId="1" type="noConversion"/>
  <conditionalFormatting sqref="C17">
    <cfRule type="cellIs" dxfId="99" priority="1" stopIfTrue="1" operator="equal">
      <formula>$B$10</formula>
    </cfRule>
    <cfRule type="cellIs" dxfId="98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O113"/>
  <sheetViews>
    <sheetView topLeftCell="I1" workbookViewId="0">
      <selection activeCell="H1" sqref="A1:H1048576"/>
    </sheetView>
  </sheetViews>
  <sheetFormatPr defaultColWidth="9.140625" defaultRowHeight="12.75" x14ac:dyDescent="0.2"/>
  <cols>
    <col min="1" max="1" width="77.42578125" hidden="1" customWidth="1"/>
    <col min="2" max="2" width="49.85546875" hidden="1" customWidth="1"/>
    <col min="3" max="3" width="48" hidden="1" customWidth="1"/>
    <col min="4" max="4" width="55.28515625" hidden="1" customWidth="1"/>
    <col min="5" max="5" width="51.42578125" hidden="1" customWidth="1"/>
    <col min="6" max="6" width="52.5703125" hidden="1" customWidth="1"/>
    <col min="7" max="7" width="50.7109375" hidden="1" customWidth="1"/>
    <col min="8" max="8" width="51.85546875" hidden="1" customWidth="1"/>
    <col min="9" max="29" width="9.140625" customWidth="1"/>
  </cols>
  <sheetData>
    <row r="1" spans="1:15" x14ac:dyDescent="0.2">
      <c r="A1" t="s">
        <v>27</v>
      </c>
      <c r="B1" t="s">
        <v>121</v>
      </c>
      <c r="C1" t="s">
        <v>227</v>
      </c>
      <c r="D1" t="s">
        <v>692</v>
      </c>
      <c r="E1" t="s">
        <v>410</v>
      </c>
      <c r="F1" t="s">
        <v>500</v>
      </c>
      <c r="G1" t="s">
        <v>575</v>
      </c>
      <c r="H1" t="s">
        <v>619</v>
      </c>
    </row>
    <row r="2" spans="1:15" x14ac:dyDescent="0.2">
      <c r="A2" t="s">
        <v>28</v>
      </c>
      <c r="B2" t="s">
        <v>122</v>
      </c>
      <c r="C2" t="s">
        <v>228</v>
      </c>
      <c r="D2" t="s">
        <v>693</v>
      </c>
      <c r="E2" t="s">
        <v>411</v>
      </c>
      <c r="F2" t="s">
        <v>501</v>
      </c>
      <c r="G2" t="s">
        <v>576</v>
      </c>
      <c r="H2" t="s">
        <v>620</v>
      </c>
    </row>
    <row r="3" spans="1:15" x14ac:dyDescent="0.2">
      <c r="A3" t="s">
        <v>29</v>
      </c>
      <c r="B3" t="s">
        <v>123</v>
      </c>
      <c r="C3" t="s">
        <v>229</v>
      </c>
      <c r="D3" t="s">
        <v>337</v>
      </c>
      <c r="E3" t="s">
        <v>412</v>
      </c>
      <c r="F3" t="s">
        <v>502</v>
      </c>
      <c r="G3" t="s">
        <v>679</v>
      </c>
      <c r="H3" t="s">
        <v>621</v>
      </c>
    </row>
    <row r="4" spans="1:15" x14ac:dyDescent="0.2">
      <c r="A4" t="s">
        <v>30</v>
      </c>
      <c r="B4" t="s">
        <v>124</v>
      </c>
      <c r="C4" t="s">
        <v>230</v>
      </c>
      <c r="D4" t="s">
        <v>338</v>
      </c>
      <c r="E4" t="s">
        <v>413</v>
      </c>
      <c r="F4" t="s">
        <v>503</v>
      </c>
      <c r="G4" t="s">
        <v>577</v>
      </c>
      <c r="H4" t="s">
        <v>622</v>
      </c>
    </row>
    <row r="5" spans="1:15" x14ac:dyDescent="0.2">
      <c r="A5" t="s">
        <v>31</v>
      </c>
      <c r="B5" t="s">
        <v>125</v>
      </c>
      <c r="C5" t="s">
        <v>231</v>
      </c>
      <c r="D5" t="s">
        <v>339</v>
      </c>
      <c r="E5" t="s">
        <v>414</v>
      </c>
      <c r="F5" t="s">
        <v>504</v>
      </c>
      <c r="G5" t="s">
        <v>578</v>
      </c>
      <c r="H5" t="s">
        <v>623</v>
      </c>
    </row>
    <row r="6" spans="1:15" x14ac:dyDescent="0.2">
      <c r="A6" t="s">
        <v>32</v>
      </c>
      <c r="B6" t="s">
        <v>126</v>
      </c>
      <c r="C6" t="s">
        <v>232</v>
      </c>
      <c r="D6" t="s">
        <v>340</v>
      </c>
      <c r="E6" t="s">
        <v>415</v>
      </c>
      <c r="F6" t="s">
        <v>505</v>
      </c>
      <c r="G6" t="s">
        <v>579</v>
      </c>
      <c r="H6" t="s">
        <v>624</v>
      </c>
    </row>
    <row r="7" spans="1:15" x14ac:dyDescent="0.2">
      <c r="A7" t="s">
        <v>33</v>
      </c>
      <c r="B7" t="s">
        <v>127</v>
      </c>
      <c r="C7" t="s">
        <v>233</v>
      </c>
      <c r="D7" t="s">
        <v>341</v>
      </c>
      <c r="E7" t="s">
        <v>416</v>
      </c>
      <c r="F7" t="s">
        <v>506</v>
      </c>
      <c r="G7" t="s">
        <v>580</v>
      </c>
      <c r="H7" t="s">
        <v>625</v>
      </c>
    </row>
    <row r="8" spans="1:15" x14ac:dyDescent="0.2">
      <c r="A8" t="s">
        <v>34</v>
      </c>
      <c r="B8" t="s">
        <v>128</v>
      </c>
      <c r="C8" t="s">
        <v>234</v>
      </c>
      <c r="D8" t="s">
        <v>342</v>
      </c>
      <c r="E8" t="s">
        <v>417</v>
      </c>
      <c r="F8" t="s">
        <v>507</v>
      </c>
      <c r="G8" t="s">
        <v>697</v>
      </c>
      <c r="H8" t="s">
        <v>626</v>
      </c>
    </row>
    <row r="9" spans="1:15" x14ac:dyDescent="0.2">
      <c r="A9" t="s">
        <v>35</v>
      </c>
      <c r="B9" t="s">
        <v>129</v>
      </c>
      <c r="C9" t="s">
        <v>235</v>
      </c>
      <c r="D9" t="s">
        <v>343</v>
      </c>
      <c r="E9" t="s">
        <v>418</v>
      </c>
      <c r="F9" t="s">
        <v>508</v>
      </c>
      <c r="G9" t="s">
        <v>698</v>
      </c>
      <c r="H9" t="s">
        <v>627</v>
      </c>
    </row>
    <row r="10" spans="1:15" x14ac:dyDescent="0.2">
      <c r="A10" t="s">
        <v>36</v>
      </c>
      <c r="B10" t="s">
        <v>130</v>
      </c>
      <c r="C10" t="s">
        <v>236</v>
      </c>
      <c r="D10" t="s">
        <v>344</v>
      </c>
      <c r="E10" t="s">
        <v>419</v>
      </c>
      <c r="F10" t="s">
        <v>509</v>
      </c>
      <c r="G10" t="s">
        <v>581</v>
      </c>
      <c r="H10" t="s">
        <v>700</v>
      </c>
    </row>
    <row r="11" spans="1:15" x14ac:dyDescent="0.2">
      <c r="A11" t="s">
        <v>37</v>
      </c>
      <c r="B11" t="s">
        <v>685</v>
      </c>
      <c r="C11" t="s">
        <v>237</v>
      </c>
      <c r="D11" t="s">
        <v>345</v>
      </c>
      <c r="E11" t="s">
        <v>420</v>
      </c>
      <c r="F11" t="s">
        <v>510</v>
      </c>
      <c r="G11" t="s">
        <v>582</v>
      </c>
      <c r="H11" t="s">
        <v>628</v>
      </c>
    </row>
    <row r="12" spans="1:15" x14ac:dyDescent="0.2">
      <c r="A12" t="s">
        <v>38</v>
      </c>
      <c r="B12" t="s">
        <v>686</v>
      </c>
      <c r="C12" t="s">
        <v>238</v>
      </c>
      <c r="D12" t="s">
        <v>346</v>
      </c>
      <c r="E12" t="s">
        <v>421</v>
      </c>
      <c r="F12" t="s">
        <v>511</v>
      </c>
      <c r="G12" t="s">
        <v>583</v>
      </c>
      <c r="H12" t="s">
        <v>629</v>
      </c>
    </row>
    <row r="13" spans="1:15" x14ac:dyDescent="0.2">
      <c r="A13" t="s">
        <v>39</v>
      </c>
      <c r="B13" t="s">
        <v>131</v>
      </c>
      <c r="C13" t="s">
        <v>239</v>
      </c>
      <c r="D13" t="s">
        <v>347</v>
      </c>
      <c r="E13" t="s">
        <v>422</v>
      </c>
      <c r="F13" t="s">
        <v>512</v>
      </c>
      <c r="G13" t="s">
        <v>584</v>
      </c>
      <c r="H13" t="s">
        <v>630</v>
      </c>
      <c r="O13" s="30"/>
    </row>
    <row r="14" spans="1:15" x14ac:dyDescent="0.2">
      <c r="A14" t="s">
        <v>40</v>
      </c>
      <c r="B14" t="s">
        <v>132</v>
      </c>
      <c r="C14" t="s">
        <v>240</v>
      </c>
      <c r="D14" t="s">
        <v>694</v>
      </c>
      <c r="E14" t="s">
        <v>423</v>
      </c>
      <c r="F14" t="s">
        <v>513</v>
      </c>
      <c r="G14" t="s">
        <v>585</v>
      </c>
      <c r="H14" t="s">
        <v>631</v>
      </c>
    </row>
    <row r="15" spans="1:15" x14ac:dyDescent="0.2">
      <c r="A15" t="s">
        <v>41</v>
      </c>
      <c r="B15" t="s">
        <v>133</v>
      </c>
      <c r="C15" t="s">
        <v>241</v>
      </c>
      <c r="D15" t="s">
        <v>348</v>
      </c>
      <c r="E15" t="s">
        <v>424</v>
      </c>
      <c r="F15" t="s">
        <v>514</v>
      </c>
      <c r="G15" t="s">
        <v>586</v>
      </c>
      <c r="H15" t="s">
        <v>632</v>
      </c>
    </row>
    <row r="16" spans="1:15" x14ac:dyDescent="0.2">
      <c r="A16" t="s">
        <v>42</v>
      </c>
      <c r="B16" t="s">
        <v>134</v>
      </c>
      <c r="C16" t="s">
        <v>242</v>
      </c>
      <c r="D16" t="s">
        <v>349</v>
      </c>
      <c r="E16" t="s">
        <v>425</v>
      </c>
      <c r="F16" t="s">
        <v>515</v>
      </c>
      <c r="G16" t="s">
        <v>587</v>
      </c>
      <c r="H16" t="s">
        <v>633</v>
      </c>
    </row>
    <row r="17" spans="1:8" x14ac:dyDescent="0.2">
      <c r="A17" t="s">
        <v>43</v>
      </c>
      <c r="B17" t="s">
        <v>135</v>
      </c>
      <c r="C17" t="s">
        <v>243</v>
      </c>
      <c r="D17" t="s">
        <v>350</v>
      </c>
      <c r="E17" t="s">
        <v>426</v>
      </c>
      <c r="F17" t="s">
        <v>516</v>
      </c>
      <c r="G17" t="s">
        <v>588</v>
      </c>
      <c r="H17" t="s">
        <v>634</v>
      </c>
    </row>
    <row r="18" spans="1:8" x14ac:dyDescent="0.2">
      <c r="A18" t="s">
        <v>44</v>
      </c>
      <c r="B18" t="s">
        <v>136</v>
      </c>
      <c r="C18" t="s">
        <v>244</v>
      </c>
      <c r="D18" t="s">
        <v>351</v>
      </c>
      <c r="E18" t="s">
        <v>427</v>
      </c>
      <c r="F18" t="s">
        <v>517</v>
      </c>
      <c r="G18" t="s">
        <v>699</v>
      </c>
      <c r="H18" t="s">
        <v>635</v>
      </c>
    </row>
    <row r="19" spans="1:8" x14ac:dyDescent="0.2">
      <c r="A19" t="s">
        <v>45</v>
      </c>
      <c r="B19" t="s">
        <v>137</v>
      </c>
      <c r="C19" t="s">
        <v>245</v>
      </c>
      <c r="D19" t="s">
        <v>352</v>
      </c>
      <c r="E19" t="s">
        <v>428</v>
      </c>
      <c r="F19" t="s">
        <v>518</v>
      </c>
      <c r="G19" t="s">
        <v>589</v>
      </c>
      <c r="H19" t="s">
        <v>636</v>
      </c>
    </row>
    <row r="20" spans="1:8" x14ac:dyDescent="0.2">
      <c r="A20" t="s">
        <v>46</v>
      </c>
      <c r="B20" t="s">
        <v>138</v>
      </c>
      <c r="C20" t="s">
        <v>246</v>
      </c>
      <c r="D20" t="s">
        <v>353</v>
      </c>
      <c r="E20" t="s">
        <v>429</v>
      </c>
      <c r="F20" t="s">
        <v>519</v>
      </c>
      <c r="G20" t="s">
        <v>590</v>
      </c>
      <c r="H20" t="s">
        <v>637</v>
      </c>
    </row>
    <row r="21" spans="1:8" x14ac:dyDescent="0.2">
      <c r="A21" t="s">
        <v>47</v>
      </c>
      <c r="B21" t="s">
        <v>139</v>
      </c>
      <c r="C21" t="s">
        <v>247</v>
      </c>
      <c r="D21" t="s">
        <v>354</v>
      </c>
      <c r="E21" t="s">
        <v>430</v>
      </c>
      <c r="F21" t="s">
        <v>520</v>
      </c>
      <c r="G21" t="s">
        <v>591</v>
      </c>
      <c r="H21" t="s">
        <v>684</v>
      </c>
    </row>
    <row r="22" spans="1:8" x14ac:dyDescent="0.2">
      <c r="A22" t="s">
        <v>48</v>
      </c>
      <c r="B22" t="s">
        <v>140</v>
      </c>
      <c r="C22" t="s">
        <v>248</v>
      </c>
      <c r="D22" t="s">
        <v>355</v>
      </c>
      <c r="E22" t="s">
        <v>431</v>
      </c>
      <c r="F22" t="s">
        <v>521</v>
      </c>
      <c r="G22" t="s">
        <v>592</v>
      </c>
      <c r="H22" t="s">
        <v>680</v>
      </c>
    </row>
    <row r="23" spans="1:8" x14ac:dyDescent="0.2">
      <c r="A23" t="s">
        <v>49</v>
      </c>
      <c r="B23" t="s">
        <v>141</v>
      </c>
      <c r="C23" t="s">
        <v>249</v>
      </c>
      <c r="D23" t="s">
        <v>356</v>
      </c>
      <c r="E23" t="s">
        <v>432</v>
      </c>
      <c r="F23" t="s">
        <v>522</v>
      </c>
      <c r="G23" t="s">
        <v>593</v>
      </c>
      <c r="H23" t="s">
        <v>638</v>
      </c>
    </row>
    <row r="24" spans="1:8" x14ac:dyDescent="0.2">
      <c r="A24" t="s">
        <v>50</v>
      </c>
      <c r="B24" t="s">
        <v>142</v>
      </c>
      <c r="C24" t="s">
        <v>250</v>
      </c>
      <c r="D24" t="s">
        <v>357</v>
      </c>
      <c r="E24" t="s">
        <v>433</v>
      </c>
      <c r="F24" t="s">
        <v>523</v>
      </c>
      <c r="G24" t="s">
        <v>594</v>
      </c>
      <c r="H24" t="s">
        <v>639</v>
      </c>
    </row>
    <row r="25" spans="1:8" x14ac:dyDescent="0.2">
      <c r="A25" t="s">
        <v>51</v>
      </c>
      <c r="B25" t="s">
        <v>143</v>
      </c>
      <c r="C25" t="s">
        <v>251</v>
      </c>
      <c r="D25" t="s">
        <v>358</v>
      </c>
      <c r="E25" t="s">
        <v>434</v>
      </c>
      <c r="F25" t="s">
        <v>524</v>
      </c>
      <c r="G25" t="s">
        <v>595</v>
      </c>
      <c r="H25" t="s">
        <v>640</v>
      </c>
    </row>
    <row r="26" spans="1:8" x14ac:dyDescent="0.2">
      <c r="A26" t="s">
        <v>52</v>
      </c>
      <c r="B26" t="s">
        <v>146</v>
      </c>
      <c r="C26" t="s">
        <v>252</v>
      </c>
      <c r="D26" t="s">
        <v>359</v>
      </c>
      <c r="E26" t="s">
        <v>435</v>
      </c>
      <c r="F26" t="s">
        <v>525</v>
      </c>
      <c r="G26" t="s">
        <v>596</v>
      </c>
      <c r="H26" t="s">
        <v>641</v>
      </c>
    </row>
    <row r="27" spans="1:8" x14ac:dyDescent="0.2">
      <c r="A27" t="s">
        <v>53</v>
      </c>
      <c r="B27" t="s">
        <v>144</v>
      </c>
      <c r="C27" t="s">
        <v>253</v>
      </c>
      <c r="D27" t="s">
        <v>360</v>
      </c>
      <c r="E27" t="s">
        <v>436</v>
      </c>
      <c r="F27" t="s">
        <v>526</v>
      </c>
      <c r="G27" t="s">
        <v>597</v>
      </c>
      <c r="H27" t="s">
        <v>642</v>
      </c>
    </row>
    <row r="28" spans="1:8" x14ac:dyDescent="0.2">
      <c r="A28" t="s">
        <v>54</v>
      </c>
      <c r="B28" t="s">
        <v>145</v>
      </c>
      <c r="C28" t="s">
        <v>254</v>
      </c>
      <c r="D28" t="s">
        <v>361</v>
      </c>
      <c r="E28" t="s">
        <v>437</v>
      </c>
      <c r="F28" t="s">
        <v>527</v>
      </c>
      <c r="G28" t="s">
        <v>598</v>
      </c>
      <c r="H28" t="s">
        <v>643</v>
      </c>
    </row>
    <row r="29" spans="1:8" x14ac:dyDescent="0.2">
      <c r="A29" t="s">
        <v>55</v>
      </c>
      <c r="B29" t="s">
        <v>147</v>
      </c>
      <c r="C29" t="s">
        <v>255</v>
      </c>
      <c r="D29" t="s">
        <v>362</v>
      </c>
      <c r="E29" t="s">
        <v>438</v>
      </c>
      <c r="F29" t="s">
        <v>528</v>
      </c>
      <c r="G29" t="s">
        <v>599</v>
      </c>
      <c r="H29" t="s">
        <v>644</v>
      </c>
    </row>
    <row r="30" spans="1:8" x14ac:dyDescent="0.2">
      <c r="A30" t="s">
        <v>56</v>
      </c>
      <c r="B30" t="s">
        <v>148</v>
      </c>
      <c r="C30" t="s">
        <v>256</v>
      </c>
      <c r="D30" t="s">
        <v>363</v>
      </c>
      <c r="E30" t="s">
        <v>439</v>
      </c>
      <c r="F30" t="s">
        <v>529</v>
      </c>
      <c r="G30" t="s">
        <v>600</v>
      </c>
      <c r="H30" t="s">
        <v>645</v>
      </c>
    </row>
    <row r="31" spans="1:8" x14ac:dyDescent="0.2">
      <c r="A31" t="s">
        <v>57</v>
      </c>
      <c r="B31" t="s">
        <v>149</v>
      </c>
      <c r="C31" t="s">
        <v>257</v>
      </c>
      <c r="D31" t="s">
        <v>364</v>
      </c>
      <c r="E31" t="s">
        <v>440</v>
      </c>
      <c r="F31" t="s">
        <v>530</v>
      </c>
      <c r="G31" t="s">
        <v>601</v>
      </c>
      <c r="H31" t="s">
        <v>701</v>
      </c>
    </row>
    <row r="32" spans="1:8" x14ac:dyDescent="0.2">
      <c r="A32" t="s">
        <v>58</v>
      </c>
      <c r="B32" t="s">
        <v>150</v>
      </c>
      <c r="C32" t="s">
        <v>258</v>
      </c>
      <c r="D32" t="s">
        <v>365</v>
      </c>
      <c r="E32" t="s">
        <v>441</v>
      </c>
      <c r="F32" t="s">
        <v>531</v>
      </c>
      <c r="G32" t="s">
        <v>602</v>
      </c>
      <c r="H32" t="s">
        <v>646</v>
      </c>
    </row>
    <row r="33" spans="1:10" x14ac:dyDescent="0.2">
      <c r="A33" t="s">
        <v>59</v>
      </c>
      <c r="B33" t="s">
        <v>151</v>
      </c>
      <c r="C33" t="s">
        <v>259</v>
      </c>
      <c r="D33" t="s">
        <v>366</v>
      </c>
      <c r="E33" t="s">
        <v>442</v>
      </c>
      <c r="F33" t="s">
        <v>532</v>
      </c>
      <c r="G33" t="s">
        <v>603</v>
      </c>
      <c r="H33" t="s">
        <v>647</v>
      </c>
    </row>
    <row r="34" spans="1:10" x14ac:dyDescent="0.2">
      <c r="A34" t="s">
        <v>60</v>
      </c>
      <c r="B34" t="s">
        <v>152</v>
      </c>
      <c r="C34" t="s">
        <v>260</v>
      </c>
      <c r="D34" t="s">
        <v>367</v>
      </c>
      <c r="E34" t="s">
        <v>443</v>
      </c>
      <c r="F34" t="s">
        <v>533</v>
      </c>
      <c r="G34" t="s">
        <v>604</v>
      </c>
      <c r="H34" t="s">
        <v>648</v>
      </c>
    </row>
    <row r="35" spans="1:10" x14ac:dyDescent="0.2">
      <c r="A35" t="s">
        <v>61</v>
      </c>
      <c r="B35" t="s">
        <v>153</v>
      </c>
      <c r="C35" t="s">
        <v>261</v>
      </c>
      <c r="D35" t="s">
        <v>368</v>
      </c>
      <c r="E35" t="s">
        <v>444</v>
      </c>
      <c r="F35" t="s">
        <v>534</v>
      </c>
      <c r="G35" t="s">
        <v>605</v>
      </c>
      <c r="H35" t="s">
        <v>649</v>
      </c>
    </row>
    <row r="36" spans="1:10" x14ac:dyDescent="0.2">
      <c r="A36" t="s">
        <v>62</v>
      </c>
      <c r="B36" t="s">
        <v>154</v>
      </c>
      <c r="C36" t="s">
        <v>262</v>
      </c>
      <c r="D36" t="s">
        <v>369</v>
      </c>
      <c r="E36" t="s">
        <v>445</v>
      </c>
      <c r="F36" t="s">
        <v>535</v>
      </c>
      <c r="G36" t="s">
        <v>606</v>
      </c>
      <c r="H36" t="s">
        <v>650</v>
      </c>
      <c r="J36" s="30"/>
    </row>
    <row r="37" spans="1:10" x14ac:dyDescent="0.2">
      <c r="A37" t="s">
        <v>63</v>
      </c>
      <c r="B37" t="s">
        <v>155</v>
      </c>
      <c r="C37" t="s">
        <v>263</v>
      </c>
      <c r="D37" t="s">
        <v>370</v>
      </c>
      <c r="E37" t="s">
        <v>446</v>
      </c>
      <c r="F37" t="s">
        <v>536</v>
      </c>
      <c r="G37" t="s">
        <v>607</v>
      </c>
      <c r="H37" t="s">
        <v>651</v>
      </c>
    </row>
    <row r="38" spans="1:10" x14ac:dyDescent="0.2">
      <c r="A38" t="s">
        <v>64</v>
      </c>
      <c r="B38" t="s">
        <v>156</v>
      </c>
      <c r="C38" t="s">
        <v>264</v>
      </c>
      <c r="D38" t="s">
        <v>371</v>
      </c>
      <c r="E38" t="s">
        <v>447</v>
      </c>
      <c r="F38" t="s">
        <v>537</v>
      </c>
      <c r="G38" t="s">
        <v>608</v>
      </c>
      <c r="H38" t="s">
        <v>652</v>
      </c>
    </row>
    <row r="39" spans="1:10" x14ac:dyDescent="0.2">
      <c r="A39" t="s">
        <v>65</v>
      </c>
      <c r="B39" t="s">
        <v>157</v>
      </c>
      <c r="C39" t="s">
        <v>265</v>
      </c>
      <c r="D39" t="s">
        <v>372</v>
      </c>
      <c r="E39" t="s">
        <v>448</v>
      </c>
      <c r="F39" t="s">
        <v>538</v>
      </c>
      <c r="G39" t="s">
        <v>609</v>
      </c>
      <c r="H39" t="s">
        <v>653</v>
      </c>
    </row>
    <row r="40" spans="1:10" x14ac:dyDescent="0.2">
      <c r="A40" t="s">
        <v>66</v>
      </c>
      <c r="B40" t="s">
        <v>158</v>
      </c>
      <c r="C40" t="s">
        <v>266</v>
      </c>
      <c r="D40" t="s">
        <v>373</v>
      </c>
      <c r="E40" t="s">
        <v>449</v>
      </c>
      <c r="F40" t="s">
        <v>539</v>
      </c>
      <c r="G40" t="s">
        <v>610</v>
      </c>
      <c r="H40" t="s">
        <v>654</v>
      </c>
    </row>
    <row r="41" spans="1:10" x14ac:dyDescent="0.2">
      <c r="A41" t="s">
        <v>67</v>
      </c>
      <c r="B41" t="s">
        <v>159</v>
      </c>
      <c r="C41" t="s">
        <v>267</v>
      </c>
      <c r="D41" t="s">
        <v>374</v>
      </c>
      <c r="E41" t="s">
        <v>450</v>
      </c>
      <c r="F41" t="s">
        <v>540</v>
      </c>
      <c r="G41" t="s">
        <v>611</v>
      </c>
      <c r="H41" t="s">
        <v>655</v>
      </c>
    </row>
    <row r="42" spans="1:10" x14ac:dyDescent="0.2">
      <c r="A42" t="s">
        <v>68</v>
      </c>
      <c r="B42" t="s">
        <v>160</v>
      </c>
      <c r="C42" t="s">
        <v>268</v>
      </c>
      <c r="D42" t="s">
        <v>375</v>
      </c>
      <c r="E42" t="s">
        <v>451</v>
      </c>
      <c r="F42" t="s">
        <v>541</v>
      </c>
      <c r="G42" t="s">
        <v>612</v>
      </c>
      <c r="H42" t="s">
        <v>656</v>
      </c>
    </row>
    <row r="43" spans="1:10" x14ac:dyDescent="0.2">
      <c r="A43" t="s">
        <v>69</v>
      </c>
      <c r="B43" t="s">
        <v>161</v>
      </c>
      <c r="C43" t="s">
        <v>269</v>
      </c>
      <c r="D43" t="s">
        <v>376</v>
      </c>
      <c r="E43" t="s">
        <v>452</v>
      </c>
      <c r="F43" t="s">
        <v>542</v>
      </c>
      <c r="G43" t="s">
        <v>613</v>
      </c>
      <c r="H43" t="s">
        <v>657</v>
      </c>
    </row>
    <row r="44" spans="1:10" x14ac:dyDescent="0.2">
      <c r="A44" t="s">
        <v>70</v>
      </c>
      <c r="B44" t="s">
        <v>162</v>
      </c>
      <c r="C44" t="s">
        <v>270</v>
      </c>
      <c r="D44" t="s">
        <v>377</v>
      </c>
      <c r="E44" t="s">
        <v>453</v>
      </c>
      <c r="F44" t="s">
        <v>543</v>
      </c>
      <c r="G44" t="s">
        <v>614</v>
      </c>
      <c r="H44" t="s">
        <v>658</v>
      </c>
    </row>
    <row r="45" spans="1:10" x14ac:dyDescent="0.2">
      <c r="A45" t="s">
        <v>71</v>
      </c>
      <c r="B45" t="s">
        <v>163</v>
      </c>
      <c r="C45" t="s">
        <v>271</v>
      </c>
      <c r="D45" t="s">
        <v>378</v>
      </c>
      <c r="E45" t="s">
        <v>454</v>
      </c>
      <c r="F45" t="s">
        <v>544</v>
      </c>
      <c r="G45" t="s">
        <v>615</v>
      </c>
      <c r="H45" t="s">
        <v>659</v>
      </c>
    </row>
    <row r="46" spans="1:10" x14ac:dyDescent="0.2">
      <c r="A46" t="s">
        <v>72</v>
      </c>
      <c r="B46" t="s">
        <v>164</v>
      </c>
      <c r="C46" t="s">
        <v>272</v>
      </c>
      <c r="D46" t="s">
        <v>379</v>
      </c>
      <c r="E46" t="s">
        <v>455</v>
      </c>
      <c r="F46" t="s">
        <v>545</v>
      </c>
      <c r="G46" t="s">
        <v>616</v>
      </c>
      <c r="H46" t="s">
        <v>660</v>
      </c>
    </row>
    <row r="47" spans="1:10" x14ac:dyDescent="0.2">
      <c r="A47" t="s">
        <v>73</v>
      </c>
      <c r="B47" t="s">
        <v>165</v>
      </c>
      <c r="C47" t="s">
        <v>273</v>
      </c>
      <c r="D47" t="s">
        <v>380</v>
      </c>
      <c r="E47" t="s">
        <v>456</v>
      </c>
      <c r="F47" t="s">
        <v>546</v>
      </c>
      <c r="G47" t="s">
        <v>617</v>
      </c>
      <c r="H47" t="s">
        <v>661</v>
      </c>
    </row>
    <row r="48" spans="1:10" x14ac:dyDescent="0.2">
      <c r="A48" t="s">
        <v>74</v>
      </c>
      <c r="B48" t="s">
        <v>166</v>
      </c>
      <c r="C48" t="s">
        <v>274</v>
      </c>
      <c r="D48" t="s">
        <v>381</v>
      </c>
      <c r="E48" t="s">
        <v>457</v>
      </c>
      <c r="F48" t="s">
        <v>547</v>
      </c>
      <c r="G48" t="s">
        <v>618</v>
      </c>
      <c r="H48" t="s">
        <v>662</v>
      </c>
    </row>
    <row r="49" spans="1:8" x14ac:dyDescent="0.2">
      <c r="A49" t="s">
        <v>75</v>
      </c>
      <c r="B49" t="s">
        <v>167</v>
      </c>
      <c r="C49" t="s">
        <v>275</v>
      </c>
      <c r="D49" t="s">
        <v>382</v>
      </c>
      <c r="E49" t="s">
        <v>458</v>
      </c>
      <c r="F49" t="s">
        <v>548</v>
      </c>
      <c r="H49" t="s">
        <v>663</v>
      </c>
    </row>
    <row r="50" spans="1:8" x14ac:dyDescent="0.2">
      <c r="A50" t="s">
        <v>76</v>
      </c>
      <c r="B50" t="s">
        <v>168</v>
      </c>
      <c r="C50" t="s">
        <v>276</v>
      </c>
      <c r="D50" t="s">
        <v>383</v>
      </c>
      <c r="E50" t="s">
        <v>459</v>
      </c>
      <c r="F50" t="s">
        <v>549</v>
      </c>
      <c r="H50" t="s">
        <v>664</v>
      </c>
    </row>
    <row r="51" spans="1:8" x14ac:dyDescent="0.2">
      <c r="A51" t="s">
        <v>77</v>
      </c>
      <c r="B51" t="s">
        <v>169</v>
      </c>
      <c r="C51" t="s">
        <v>277</v>
      </c>
      <c r="D51" t="s">
        <v>384</v>
      </c>
      <c r="E51" t="s">
        <v>460</v>
      </c>
      <c r="F51" t="s">
        <v>550</v>
      </c>
      <c r="H51" t="s">
        <v>665</v>
      </c>
    </row>
    <row r="52" spans="1:8" x14ac:dyDescent="0.2">
      <c r="A52" t="s">
        <v>78</v>
      </c>
      <c r="B52" t="s">
        <v>170</v>
      </c>
      <c r="C52" t="s">
        <v>278</v>
      </c>
      <c r="D52" t="s">
        <v>385</v>
      </c>
      <c r="E52" t="s">
        <v>461</v>
      </c>
      <c r="F52" t="s">
        <v>551</v>
      </c>
      <c r="H52" t="s">
        <v>666</v>
      </c>
    </row>
    <row r="53" spans="1:8" x14ac:dyDescent="0.2">
      <c r="A53" t="s">
        <v>79</v>
      </c>
      <c r="B53" t="s">
        <v>171</v>
      </c>
      <c r="C53" t="s">
        <v>279</v>
      </c>
      <c r="D53" t="s">
        <v>386</v>
      </c>
      <c r="E53" t="s">
        <v>462</v>
      </c>
      <c r="F53" t="s">
        <v>552</v>
      </c>
      <c r="H53" t="s">
        <v>667</v>
      </c>
    </row>
    <row r="54" spans="1:8" x14ac:dyDescent="0.2">
      <c r="A54" t="s">
        <v>80</v>
      </c>
      <c r="B54" t="s">
        <v>172</v>
      </c>
      <c r="C54" t="s">
        <v>280</v>
      </c>
      <c r="D54" t="s">
        <v>387</v>
      </c>
      <c r="E54" t="s">
        <v>463</v>
      </c>
      <c r="F54" t="s">
        <v>553</v>
      </c>
      <c r="H54" t="s">
        <v>668</v>
      </c>
    </row>
    <row r="55" spans="1:8" x14ac:dyDescent="0.2">
      <c r="A55" t="s">
        <v>81</v>
      </c>
      <c r="B55" t="s">
        <v>173</v>
      </c>
      <c r="C55" t="s">
        <v>281</v>
      </c>
      <c r="D55" t="s">
        <v>688</v>
      </c>
      <c r="E55" t="s">
        <v>464</v>
      </c>
      <c r="F55" t="s">
        <v>554</v>
      </c>
      <c r="H55" t="s">
        <v>669</v>
      </c>
    </row>
    <row r="56" spans="1:8" x14ac:dyDescent="0.2">
      <c r="A56" t="s">
        <v>82</v>
      </c>
      <c r="B56" t="s">
        <v>174</v>
      </c>
      <c r="C56" t="s">
        <v>282</v>
      </c>
      <c r="D56" t="s">
        <v>689</v>
      </c>
      <c r="E56" t="s">
        <v>465</v>
      </c>
      <c r="F56" t="s">
        <v>555</v>
      </c>
      <c r="H56" t="s">
        <v>670</v>
      </c>
    </row>
    <row r="57" spans="1:8" x14ac:dyDescent="0.2">
      <c r="A57" t="s">
        <v>83</v>
      </c>
      <c r="B57" t="s">
        <v>175</v>
      </c>
      <c r="C57" t="s">
        <v>283</v>
      </c>
      <c r="D57" t="s">
        <v>388</v>
      </c>
      <c r="E57" t="s">
        <v>466</v>
      </c>
      <c r="F57" t="s">
        <v>556</v>
      </c>
    </row>
    <row r="58" spans="1:8" x14ac:dyDescent="0.2">
      <c r="A58" t="s">
        <v>84</v>
      </c>
      <c r="B58" t="s">
        <v>176</v>
      </c>
      <c r="C58" t="s">
        <v>284</v>
      </c>
      <c r="D58" t="s">
        <v>389</v>
      </c>
      <c r="E58" t="s">
        <v>467</v>
      </c>
      <c r="F58" t="s">
        <v>557</v>
      </c>
    </row>
    <row r="59" spans="1:8" x14ac:dyDescent="0.2">
      <c r="A59" t="s">
        <v>85</v>
      </c>
      <c r="B59" t="s">
        <v>177</v>
      </c>
      <c r="C59" t="s">
        <v>285</v>
      </c>
      <c r="D59" t="s">
        <v>390</v>
      </c>
      <c r="E59" t="s">
        <v>468</v>
      </c>
      <c r="F59" t="s">
        <v>558</v>
      </c>
    </row>
    <row r="60" spans="1:8" x14ac:dyDescent="0.2">
      <c r="A60" t="s">
        <v>86</v>
      </c>
      <c r="B60" t="s">
        <v>178</v>
      </c>
      <c r="C60" t="s">
        <v>286</v>
      </c>
      <c r="D60" t="s">
        <v>391</v>
      </c>
      <c r="E60" t="s">
        <v>469</v>
      </c>
      <c r="F60" t="s">
        <v>559</v>
      </c>
    </row>
    <row r="61" spans="1:8" x14ac:dyDescent="0.2">
      <c r="A61" t="s">
        <v>87</v>
      </c>
      <c r="B61" t="s">
        <v>179</v>
      </c>
      <c r="C61" t="s">
        <v>287</v>
      </c>
      <c r="D61" t="s">
        <v>392</v>
      </c>
      <c r="E61" t="s">
        <v>470</v>
      </c>
      <c r="F61" t="s">
        <v>560</v>
      </c>
    </row>
    <row r="62" spans="1:8" x14ac:dyDescent="0.2">
      <c r="A62" t="s">
        <v>88</v>
      </c>
      <c r="B62" t="s">
        <v>180</v>
      </c>
      <c r="C62" t="s">
        <v>288</v>
      </c>
      <c r="D62" t="s">
        <v>393</v>
      </c>
      <c r="E62" t="s">
        <v>471</v>
      </c>
      <c r="F62" t="s">
        <v>561</v>
      </c>
    </row>
    <row r="63" spans="1:8" x14ac:dyDescent="0.2">
      <c r="A63" t="s">
        <v>89</v>
      </c>
      <c r="B63" t="s">
        <v>181</v>
      </c>
      <c r="C63" t="s">
        <v>289</v>
      </c>
      <c r="D63" t="s">
        <v>394</v>
      </c>
      <c r="E63" t="s">
        <v>472</v>
      </c>
      <c r="F63" t="s">
        <v>562</v>
      </c>
    </row>
    <row r="64" spans="1:8" x14ac:dyDescent="0.2">
      <c r="A64" t="s">
        <v>90</v>
      </c>
      <c r="B64" t="s">
        <v>182</v>
      </c>
      <c r="C64" t="s">
        <v>290</v>
      </c>
      <c r="D64" t="s">
        <v>395</v>
      </c>
      <c r="E64" t="s">
        <v>473</v>
      </c>
      <c r="F64" t="s">
        <v>563</v>
      </c>
    </row>
    <row r="65" spans="1:6" x14ac:dyDescent="0.2">
      <c r="A65" t="s">
        <v>91</v>
      </c>
      <c r="B65" t="s">
        <v>183</v>
      </c>
      <c r="C65" t="s">
        <v>291</v>
      </c>
      <c r="D65" t="s">
        <v>396</v>
      </c>
      <c r="E65" t="s">
        <v>474</v>
      </c>
      <c r="F65" t="s">
        <v>564</v>
      </c>
    </row>
    <row r="66" spans="1:6" x14ac:dyDescent="0.2">
      <c r="A66" t="s">
        <v>92</v>
      </c>
      <c r="B66" t="s">
        <v>184</v>
      </c>
      <c r="C66" t="s">
        <v>292</v>
      </c>
      <c r="D66" t="s">
        <v>397</v>
      </c>
      <c r="E66" t="s">
        <v>475</v>
      </c>
      <c r="F66" t="s">
        <v>565</v>
      </c>
    </row>
    <row r="67" spans="1:6" x14ac:dyDescent="0.2">
      <c r="A67" t="s">
        <v>93</v>
      </c>
      <c r="B67" t="s">
        <v>185</v>
      </c>
      <c r="C67" t="s">
        <v>293</v>
      </c>
      <c r="D67" t="s">
        <v>398</v>
      </c>
      <c r="E67" t="s">
        <v>476</v>
      </c>
      <c r="F67" t="s">
        <v>566</v>
      </c>
    </row>
    <row r="68" spans="1:6" x14ac:dyDescent="0.2">
      <c r="A68" t="s">
        <v>681</v>
      </c>
      <c r="B68" t="s">
        <v>186</v>
      </c>
      <c r="C68" t="s">
        <v>294</v>
      </c>
      <c r="D68" t="s">
        <v>399</v>
      </c>
      <c r="E68" t="s">
        <v>477</v>
      </c>
      <c r="F68" t="s">
        <v>567</v>
      </c>
    </row>
    <row r="69" spans="1:6" x14ac:dyDescent="0.2">
      <c r="A69" t="s">
        <v>94</v>
      </c>
      <c r="B69" t="s">
        <v>187</v>
      </c>
      <c r="C69" t="s">
        <v>295</v>
      </c>
      <c r="D69" t="s">
        <v>400</v>
      </c>
      <c r="E69" t="s">
        <v>478</v>
      </c>
      <c r="F69" t="s">
        <v>568</v>
      </c>
    </row>
    <row r="70" spans="1:6" x14ac:dyDescent="0.2">
      <c r="A70" t="s">
        <v>95</v>
      </c>
      <c r="B70" t="s">
        <v>188</v>
      </c>
      <c r="C70" t="s">
        <v>296</v>
      </c>
      <c r="D70" t="s">
        <v>401</v>
      </c>
      <c r="E70" t="s">
        <v>479</v>
      </c>
      <c r="F70" t="s">
        <v>569</v>
      </c>
    </row>
    <row r="71" spans="1:6" x14ac:dyDescent="0.2">
      <c r="A71" t="s">
        <v>96</v>
      </c>
      <c r="B71" t="s">
        <v>189</v>
      </c>
      <c r="C71" t="s">
        <v>297</v>
      </c>
      <c r="D71" t="s">
        <v>683</v>
      </c>
      <c r="E71" t="s">
        <v>480</v>
      </c>
      <c r="F71" t="s">
        <v>570</v>
      </c>
    </row>
    <row r="72" spans="1:6" x14ac:dyDescent="0.2">
      <c r="A72" t="s">
        <v>97</v>
      </c>
      <c r="B72" t="s">
        <v>190</v>
      </c>
      <c r="C72" t="s">
        <v>298</v>
      </c>
      <c r="D72" t="s">
        <v>402</v>
      </c>
      <c r="E72" t="s">
        <v>481</v>
      </c>
      <c r="F72" t="s">
        <v>571</v>
      </c>
    </row>
    <row r="73" spans="1:6" x14ac:dyDescent="0.2">
      <c r="A73" t="s">
        <v>98</v>
      </c>
      <c r="B73" t="s">
        <v>191</v>
      </c>
      <c r="C73" t="s">
        <v>299</v>
      </c>
      <c r="D73" t="s">
        <v>403</v>
      </c>
      <c r="E73" t="s">
        <v>482</v>
      </c>
      <c r="F73" t="s">
        <v>572</v>
      </c>
    </row>
    <row r="74" spans="1:6" x14ac:dyDescent="0.2">
      <c r="A74" t="s">
        <v>99</v>
      </c>
      <c r="B74" t="s">
        <v>192</v>
      </c>
      <c r="C74" t="s">
        <v>300</v>
      </c>
      <c r="D74" t="s">
        <v>404</v>
      </c>
      <c r="E74" t="s">
        <v>483</v>
      </c>
      <c r="F74" t="s">
        <v>573</v>
      </c>
    </row>
    <row r="75" spans="1:6" x14ac:dyDescent="0.2">
      <c r="A75" t="s">
        <v>100</v>
      </c>
      <c r="B75" t="s">
        <v>193</v>
      </c>
      <c r="C75" t="s">
        <v>301</v>
      </c>
      <c r="D75" t="s">
        <v>405</v>
      </c>
      <c r="E75" t="s">
        <v>484</v>
      </c>
      <c r="F75" t="s">
        <v>574</v>
      </c>
    </row>
    <row r="76" spans="1:6" x14ac:dyDescent="0.2">
      <c r="A76" t="s">
        <v>101</v>
      </c>
      <c r="B76" t="s">
        <v>194</v>
      </c>
      <c r="C76" t="s">
        <v>302</v>
      </c>
      <c r="D76" t="s">
        <v>690</v>
      </c>
      <c r="E76" t="s">
        <v>485</v>
      </c>
    </row>
    <row r="77" spans="1:6" x14ac:dyDescent="0.2">
      <c r="A77" t="s">
        <v>102</v>
      </c>
      <c r="B77" t="s">
        <v>195</v>
      </c>
      <c r="C77" t="s">
        <v>303</v>
      </c>
      <c r="D77" t="s">
        <v>406</v>
      </c>
      <c r="E77" t="s">
        <v>486</v>
      </c>
    </row>
    <row r="78" spans="1:6" x14ac:dyDescent="0.2">
      <c r="A78" t="s">
        <v>103</v>
      </c>
      <c r="B78" t="s">
        <v>196</v>
      </c>
      <c r="C78" t="s">
        <v>304</v>
      </c>
      <c r="D78" t="s">
        <v>407</v>
      </c>
      <c r="E78" t="s">
        <v>487</v>
      </c>
    </row>
    <row r="79" spans="1:6" x14ac:dyDescent="0.2">
      <c r="A79" t="s">
        <v>104</v>
      </c>
      <c r="B79" t="s">
        <v>197</v>
      </c>
      <c r="C79" t="s">
        <v>305</v>
      </c>
      <c r="D79" t="s">
        <v>408</v>
      </c>
      <c r="E79" t="s">
        <v>488</v>
      </c>
    </row>
    <row r="80" spans="1:6" x14ac:dyDescent="0.2">
      <c r="A80" t="s">
        <v>105</v>
      </c>
      <c r="B80" t="s">
        <v>198</v>
      </c>
      <c r="C80" t="s">
        <v>306</v>
      </c>
      <c r="D80" t="s">
        <v>409</v>
      </c>
      <c r="E80" t="s">
        <v>489</v>
      </c>
    </row>
    <row r="81" spans="1:5" x14ac:dyDescent="0.2">
      <c r="A81" t="s">
        <v>106</v>
      </c>
      <c r="B81" t="s">
        <v>199</v>
      </c>
      <c r="C81" t="s">
        <v>307</v>
      </c>
      <c r="E81" t="s">
        <v>490</v>
      </c>
    </row>
    <row r="82" spans="1:5" x14ac:dyDescent="0.2">
      <c r="A82" t="s">
        <v>107</v>
      </c>
      <c r="B82" t="s">
        <v>200</v>
      </c>
      <c r="C82" t="s">
        <v>308</v>
      </c>
      <c r="E82" t="s">
        <v>695</v>
      </c>
    </row>
    <row r="83" spans="1:5" x14ac:dyDescent="0.2">
      <c r="A83" t="s">
        <v>108</v>
      </c>
      <c r="B83" t="s">
        <v>201</v>
      </c>
      <c r="C83" t="s">
        <v>309</v>
      </c>
      <c r="E83" t="s">
        <v>696</v>
      </c>
    </row>
    <row r="84" spans="1:5" x14ac:dyDescent="0.2">
      <c r="A84" t="s">
        <v>109</v>
      </c>
      <c r="B84" t="s">
        <v>202</v>
      </c>
      <c r="C84" t="s">
        <v>310</v>
      </c>
      <c r="E84" t="s">
        <v>491</v>
      </c>
    </row>
    <row r="85" spans="1:5" x14ac:dyDescent="0.2">
      <c r="A85" t="s">
        <v>110</v>
      </c>
      <c r="B85" t="s">
        <v>203</v>
      </c>
      <c r="C85" t="s">
        <v>311</v>
      </c>
      <c r="E85" t="s">
        <v>492</v>
      </c>
    </row>
    <row r="86" spans="1:5" x14ac:dyDescent="0.2">
      <c r="A86" t="s">
        <v>111</v>
      </c>
      <c r="B86" t="s">
        <v>204</v>
      </c>
      <c r="C86" t="s">
        <v>312</v>
      </c>
      <c r="E86" t="s">
        <v>493</v>
      </c>
    </row>
    <row r="87" spans="1:5" x14ac:dyDescent="0.2">
      <c r="A87" t="s">
        <v>112</v>
      </c>
      <c r="B87" t="s">
        <v>205</v>
      </c>
      <c r="C87" t="s">
        <v>313</v>
      </c>
      <c r="E87" t="s">
        <v>494</v>
      </c>
    </row>
    <row r="88" spans="1:5" x14ac:dyDescent="0.2">
      <c r="A88" t="s">
        <v>113</v>
      </c>
      <c r="B88" t="s">
        <v>206</v>
      </c>
      <c r="C88" t="s">
        <v>314</v>
      </c>
      <c r="E88" t="s">
        <v>495</v>
      </c>
    </row>
    <row r="89" spans="1:5" x14ac:dyDescent="0.2">
      <c r="A89" t="s">
        <v>114</v>
      </c>
      <c r="B89" t="s">
        <v>207</v>
      </c>
      <c r="C89" t="s">
        <v>315</v>
      </c>
      <c r="E89" t="s">
        <v>496</v>
      </c>
    </row>
    <row r="90" spans="1:5" x14ac:dyDescent="0.2">
      <c r="A90" t="s">
        <v>115</v>
      </c>
      <c r="B90" t="s">
        <v>208</v>
      </c>
      <c r="C90" t="s">
        <v>316</v>
      </c>
      <c r="E90" t="s">
        <v>497</v>
      </c>
    </row>
    <row r="91" spans="1:5" x14ac:dyDescent="0.2">
      <c r="A91" t="s">
        <v>116</v>
      </c>
      <c r="B91" t="s">
        <v>209</v>
      </c>
      <c r="C91" t="s">
        <v>317</v>
      </c>
      <c r="E91" t="s">
        <v>498</v>
      </c>
    </row>
    <row r="92" spans="1:5" x14ac:dyDescent="0.2">
      <c r="A92" t="s">
        <v>117</v>
      </c>
      <c r="B92" t="s">
        <v>210</v>
      </c>
      <c r="C92" t="s">
        <v>687</v>
      </c>
      <c r="E92" t="s">
        <v>499</v>
      </c>
    </row>
    <row r="93" spans="1:5" x14ac:dyDescent="0.2">
      <c r="A93" t="s">
        <v>118</v>
      </c>
      <c r="B93" t="s">
        <v>211</v>
      </c>
      <c r="C93" t="s">
        <v>318</v>
      </c>
    </row>
    <row r="94" spans="1:5" x14ac:dyDescent="0.2">
      <c r="A94" t="s">
        <v>119</v>
      </c>
      <c r="B94" t="s">
        <v>212</v>
      </c>
      <c r="C94" t="s">
        <v>319</v>
      </c>
    </row>
    <row r="95" spans="1:5" x14ac:dyDescent="0.2">
      <c r="A95" t="s">
        <v>120</v>
      </c>
      <c r="B95" t="s">
        <v>213</v>
      </c>
      <c r="C95" t="s">
        <v>320</v>
      </c>
    </row>
    <row r="96" spans="1:5" x14ac:dyDescent="0.2">
      <c r="B96" t="s">
        <v>214</v>
      </c>
      <c r="C96" t="s">
        <v>682</v>
      </c>
    </row>
    <row r="97" spans="2:3" x14ac:dyDescent="0.2">
      <c r="B97" t="s">
        <v>215</v>
      </c>
      <c r="C97" t="s">
        <v>321</v>
      </c>
    </row>
    <row r="98" spans="2:3" x14ac:dyDescent="0.2">
      <c r="B98" t="s">
        <v>216</v>
      </c>
      <c r="C98" t="s">
        <v>322</v>
      </c>
    </row>
    <row r="99" spans="2:3" x14ac:dyDescent="0.2">
      <c r="B99" t="s">
        <v>217</v>
      </c>
      <c r="C99" t="s">
        <v>323</v>
      </c>
    </row>
    <row r="100" spans="2:3" x14ac:dyDescent="0.2">
      <c r="B100" t="s">
        <v>218</v>
      </c>
      <c r="C100" t="s">
        <v>324</v>
      </c>
    </row>
    <row r="101" spans="2:3" x14ac:dyDescent="0.2">
      <c r="B101" t="s">
        <v>219</v>
      </c>
      <c r="C101" t="s">
        <v>325</v>
      </c>
    </row>
    <row r="102" spans="2:3" x14ac:dyDescent="0.2">
      <c r="B102" t="s">
        <v>220</v>
      </c>
      <c r="C102" t="s">
        <v>326</v>
      </c>
    </row>
    <row r="103" spans="2:3" x14ac:dyDescent="0.2">
      <c r="B103" t="s">
        <v>221</v>
      </c>
      <c r="C103" t="s">
        <v>327</v>
      </c>
    </row>
    <row r="104" spans="2:3" x14ac:dyDescent="0.2">
      <c r="B104" t="s">
        <v>222</v>
      </c>
      <c r="C104" t="s">
        <v>328</v>
      </c>
    </row>
    <row r="105" spans="2:3" x14ac:dyDescent="0.2">
      <c r="B105" t="s">
        <v>223</v>
      </c>
      <c r="C105" t="s">
        <v>329</v>
      </c>
    </row>
    <row r="106" spans="2:3" x14ac:dyDescent="0.2">
      <c r="B106" t="s">
        <v>224</v>
      </c>
      <c r="C106" t="s">
        <v>330</v>
      </c>
    </row>
    <row r="107" spans="2:3" x14ac:dyDescent="0.2">
      <c r="B107" t="s">
        <v>225</v>
      </c>
      <c r="C107" t="s">
        <v>331</v>
      </c>
    </row>
    <row r="108" spans="2:3" x14ac:dyDescent="0.2">
      <c r="B108" t="s">
        <v>226</v>
      </c>
      <c r="C108" t="s">
        <v>332</v>
      </c>
    </row>
    <row r="109" spans="2:3" x14ac:dyDescent="0.2">
      <c r="C109" t="s">
        <v>691</v>
      </c>
    </row>
    <row r="110" spans="2:3" x14ac:dyDescent="0.2">
      <c r="C110" t="s">
        <v>333</v>
      </c>
    </row>
    <row r="111" spans="2:3" x14ac:dyDescent="0.2">
      <c r="C111" t="s">
        <v>334</v>
      </c>
    </row>
    <row r="112" spans="2:3" x14ac:dyDescent="0.2">
      <c r="C112" t="s">
        <v>335</v>
      </c>
    </row>
    <row r="113" spans="3:3" x14ac:dyDescent="0.2">
      <c r="C113" t="s">
        <v>336</v>
      </c>
    </row>
  </sheetData>
  <conditionalFormatting sqref="AC1:AC1048576">
    <cfRule type="duplicateValues" dxfId="97" priority="2"/>
  </conditionalFormatting>
  <conditionalFormatting sqref="S1:S1048576">
    <cfRule type="duplicateValues" dxfId="96" priority="1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8</v>
      </c>
      <c r="C2" s="15">
        <f>IF(ISERROR(VALUE(TRIM(CLEAN(MID(C20,FIND("(",C20)+1,FIND("/",C20,1)-FIND("(",C20)-1))))),0,VALUE(TRIM(CLEAN(MID(C20,FIND("(",C20)+1,FIND("/",C20,1)-FIND("(",C20)-1)))))</f>
        <v>8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3</v>
      </c>
      <c r="C3" s="16">
        <f>IF(ISERROR(VALUE(TRIM(CLEAN(MID(C21,FIND("(",C21)+1,FIND("/",C21,1)-FIND("(",C21)-1))))),0,VALUE(TRIM(CLEAN(MID(C21,FIND("(",C21)+1,FIND("/",C21,1)-FIND("(",C21)-1)))))</f>
        <v>3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24</v>
      </c>
      <c r="C4" s="16">
        <f>IF(ISERROR(VALUE(TRIM(CLEAN(MID(C23,FIND("(",C23)+1,FIND("/",C23,1)-FIND("(",C23)-1))))),0,VALUE(TRIM(CLEAN(MID(C23,FIND("(",C23)+1,FIND("/",C23,1)-FIND("(",C23)-1)))))</f>
        <v>24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10</v>
      </c>
      <c r="C5" s="16">
        <f>IF(ISERROR(VALUE(TRIM(CLEAN(MID(C24,FIND("(",C24)+1,FIND("/",C24,1)-FIND("(",C24)-1))))),0,VALUE(TRIM(CLEAN(MID(C24,FIND("(",C24)+1,FIND("/",C24,1)-FIND("(",C24)-1)))))</f>
        <v>10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45</v>
      </c>
      <c r="C7" s="17">
        <f>SUM(C2:C5)</f>
        <v>45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702</v>
      </c>
    </row>
    <row r="20" spans="1:8" x14ac:dyDescent="0.2">
      <c r="C20" s="5" t="s">
        <v>703</v>
      </c>
    </row>
    <row r="21" spans="1:8" x14ac:dyDescent="0.2">
      <c r="C21" s="5" t="s">
        <v>704</v>
      </c>
    </row>
    <row r="22" spans="1:8" x14ac:dyDescent="0.2">
      <c r="C22" s="5" t="s">
        <v>705</v>
      </c>
    </row>
    <row r="23" spans="1:8" x14ac:dyDescent="0.2">
      <c r="C23" s="5" t="s">
        <v>706</v>
      </c>
    </row>
    <row r="24" spans="1:8" x14ac:dyDescent="0.2">
      <c r="C24" s="5" t="s">
        <v>707</v>
      </c>
    </row>
    <row r="25" spans="1:8" x14ac:dyDescent="0.2">
      <c r="B25" s="5" t="s">
        <v>708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714</v>
      </c>
    </row>
    <row r="32" spans="1:8" x14ac:dyDescent="0.2">
      <c r="D32" s="5" t="s">
        <v>715</v>
      </c>
    </row>
    <row r="33" spans="4:4" x14ac:dyDescent="0.2">
      <c r="D33" s="5" t="s">
        <v>704</v>
      </c>
    </row>
    <row r="34" spans="4:4" x14ac:dyDescent="0.2">
      <c r="D34" s="5" t="s">
        <v>716</v>
      </c>
    </row>
    <row r="35" spans="4:4" x14ac:dyDescent="0.2">
      <c r="D35" s="5" t="s">
        <v>706</v>
      </c>
    </row>
    <row r="36" spans="4:4" x14ac:dyDescent="0.2">
      <c r="D36" s="5" t="s">
        <v>707</v>
      </c>
    </row>
  </sheetData>
  <autoFilter ref="A18:H18"/>
  <conditionalFormatting sqref="C17">
    <cfRule type="cellIs" dxfId="95" priority="1" stopIfTrue="1" operator="equal">
      <formula>$B$10</formula>
    </cfRule>
    <cfRule type="cellIs" dxfId="94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11"/>
  </sheetPr>
  <dimension ref="A1:H30"/>
  <sheetViews>
    <sheetView workbookViewId="0">
      <selection activeCell="E4" sqref="E4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</v>
      </c>
      <c r="C2" s="15">
        <f>IF(ISERROR(VALUE(TRIM(CLEAN(MID(C20,FIND("(",C20)+1,FIND("/",C20,1)-FIND("(",C20)-1))))),0,VALUE(TRIM(CLEAN(MID(C20,FIND("(",C20)+1,FIND("/",C20,1)-FIND("(",C20)-1)))))</f>
        <v>1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8</v>
      </c>
      <c r="C4" s="16">
        <f>IF(ISERROR(VALUE(TRIM(CLEAN(MID(C23,FIND("(",C23)+1,FIND("/",C23,1)-FIND("(",C23)-1))))),0,VALUE(TRIM(CLEAN(MID(C23,FIND("(",C23)+1,FIND("/",C23,1)-FIND("(",C23)-1)))))</f>
        <v>8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4</v>
      </c>
      <c r="C5" s="16">
        <f>IF(ISERROR(VALUE(TRIM(CLEAN(MID(C24,FIND("(",C24)+1,FIND("/",C24,1)-FIND("(",C24)-1))))),0,VALUE(TRIM(CLEAN(MID(C24,FIND("(",C24)+1,FIND("/",C24,1)-FIND("(",C24)-1)))))</f>
        <v>4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13</v>
      </c>
      <c r="C7" s="17">
        <f>SUM(C2:C5)</f>
        <v>13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718</v>
      </c>
    </row>
    <row r="20" spans="1:8" x14ac:dyDescent="0.2">
      <c r="C20" s="5" t="s">
        <v>709</v>
      </c>
    </row>
    <row r="21" spans="1:8" x14ac:dyDescent="0.2">
      <c r="C21" s="5" t="s">
        <v>710</v>
      </c>
    </row>
    <row r="22" spans="1:8" x14ac:dyDescent="0.2">
      <c r="C22" s="5" t="s">
        <v>711</v>
      </c>
    </row>
    <row r="23" spans="1:8" x14ac:dyDescent="0.2">
      <c r="C23" s="5" t="s">
        <v>719</v>
      </c>
    </row>
    <row r="24" spans="1:8" x14ac:dyDescent="0.2">
      <c r="C24" s="5" t="s">
        <v>720</v>
      </c>
    </row>
    <row r="25" spans="1:8" x14ac:dyDescent="0.2">
      <c r="B25" s="5" t="s">
        <v>721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719</v>
      </c>
    </row>
    <row r="30" spans="1:8" x14ac:dyDescent="0.2">
      <c r="D30" s="5" t="s">
        <v>720</v>
      </c>
    </row>
  </sheetData>
  <autoFilter ref="A18:H18"/>
  <conditionalFormatting sqref="C17">
    <cfRule type="cellIs" dxfId="93" priority="1" stopIfTrue="1" operator="equal">
      <formula>$B$10</formula>
    </cfRule>
    <cfRule type="cellIs" dxfId="92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indexed="11"/>
  </sheetPr>
  <dimension ref="A1:H48"/>
  <sheetViews>
    <sheetView workbookViewId="0">
      <selection activeCell="E3" sqref="E3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33</v>
      </c>
      <c r="C2" s="15">
        <f>IF(ISERROR(VALUE(TRIM(CLEAN(MID(C20,FIND("(",C20)+1,FIND("/",C20,1)-FIND("(",C20)-1))))),0,VALUE(TRIM(CLEAN(MID(C20,FIND("(",C20)+1,FIND("/",C20,1)-FIND("(",C20)-1)))))</f>
        <v>33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14</v>
      </c>
      <c r="C3" s="16">
        <f>IF(ISERROR(VALUE(TRIM(CLEAN(MID(C21,FIND("(",C21)+1,FIND("/",C21,1)-FIND("(",C21)-1))))),0,VALUE(TRIM(CLEAN(MID(C21,FIND("(",C21)+1,FIND("/",C21,1)-FIND("(",C21)-1)))))</f>
        <v>14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76</v>
      </c>
      <c r="C4" s="16">
        <f>IF(ISERROR(VALUE(TRIM(CLEAN(MID(C23,FIND("(",C23)+1,FIND("/",C23,1)-FIND("(",C23)-1))))),0,VALUE(TRIM(CLEAN(MID(C23,FIND("(",C23)+1,FIND("/",C23,1)-FIND("(",C23)-1)))))</f>
        <v>76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27</v>
      </c>
      <c r="C5" s="16">
        <f>IF(ISERROR(VALUE(TRIM(CLEAN(MID(C24,FIND("(",C24)+1,FIND("/",C24,1)-FIND("(",C24)-1))))),0,VALUE(TRIM(CLEAN(MID(C24,FIND("(",C24)+1,FIND("/",C24,1)-FIND("(",C24)-1)))))</f>
        <v>27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150</v>
      </c>
      <c r="C7" s="17">
        <f>SUM(C2:C5)</f>
        <v>150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723</v>
      </c>
    </row>
    <row r="20" spans="1:8" x14ac:dyDescent="0.2">
      <c r="C20" s="5" t="s">
        <v>724</v>
      </c>
    </row>
    <row r="21" spans="1:8" x14ac:dyDescent="0.2">
      <c r="C21" s="5" t="s">
        <v>725</v>
      </c>
    </row>
    <row r="22" spans="1:8" x14ac:dyDescent="0.2">
      <c r="C22" s="5" t="s">
        <v>726</v>
      </c>
    </row>
    <row r="23" spans="1:8" x14ac:dyDescent="0.2">
      <c r="C23" s="5" t="s">
        <v>727</v>
      </c>
    </row>
    <row r="24" spans="1:8" x14ac:dyDescent="0.2">
      <c r="C24" s="5" t="s">
        <v>728</v>
      </c>
    </row>
    <row r="25" spans="1:8" x14ac:dyDescent="0.2">
      <c r="B25" s="5" t="s">
        <v>729</v>
      </c>
    </row>
    <row r="26" spans="1:8" x14ac:dyDescent="0.2">
      <c r="D26" s="5" t="s">
        <v>730</v>
      </c>
    </row>
    <row r="27" spans="1:8" x14ac:dyDescent="0.2">
      <c r="D27" s="5" t="s">
        <v>731</v>
      </c>
    </row>
    <row r="28" spans="1:8" x14ac:dyDescent="0.2">
      <c r="D28" s="5" t="s">
        <v>732</v>
      </c>
    </row>
    <row r="29" spans="1:8" x14ac:dyDescent="0.2">
      <c r="D29" s="5" t="s">
        <v>733</v>
      </c>
    </row>
    <row r="30" spans="1:8" x14ac:dyDescent="0.2">
      <c r="D30" s="5" t="s">
        <v>713</v>
      </c>
    </row>
    <row r="31" spans="1:8" x14ac:dyDescent="0.2">
      <c r="B31" s="5" t="s">
        <v>734</v>
      </c>
    </row>
    <row r="32" spans="1:8" x14ac:dyDescent="0.2">
      <c r="D32" s="5" t="s">
        <v>735</v>
      </c>
    </row>
    <row r="33" spans="2:4" x14ac:dyDescent="0.2">
      <c r="D33" s="5" t="s">
        <v>736</v>
      </c>
    </row>
    <row r="34" spans="2:4" x14ac:dyDescent="0.2">
      <c r="D34" s="5" t="s">
        <v>737</v>
      </c>
    </row>
    <row r="35" spans="2:4" x14ac:dyDescent="0.2">
      <c r="D35" s="5" t="s">
        <v>738</v>
      </c>
    </row>
    <row r="36" spans="2:4" x14ac:dyDescent="0.2">
      <c r="D36" s="5" t="s">
        <v>739</v>
      </c>
    </row>
    <row r="37" spans="2:4" x14ac:dyDescent="0.2">
      <c r="B37" s="5" t="s">
        <v>740</v>
      </c>
    </row>
    <row r="38" spans="2:4" x14ac:dyDescent="0.2">
      <c r="D38" s="5" t="s">
        <v>703</v>
      </c>
    </row>
    <row r="39" spans="2:4" x14ac:dyDescent="0.2">
      <c r="D39" s="5" t="s">
        <v>741</v>
      </c>
    </row>
    <row r="40" spans="2:4" x14ac:dyDescent="0.2">
      <c r="D40" s="5" t="s">
        <v>742</v>
      </c>
    </row>
    <row r="41" spans="2:4" x14ac:dyDescent="0.2">
      <c r="D41" s="5" t="s">
        <v>743</v>
      </c>
    </row>
    <row r="42" spans="2:4" x14ac:dyDescent="0.2">
      <c r="D42" s="5" t="s">
        <v>744</v>
      </c>
    </row>
    <row r="43" spans="2:4" x14ac:dyDescent="0.2">
      <c r="B43" s="5" t="s">
        <v>745</v>
      </c>
    </row>
    <row r="44" spans="2:4" x14ac:dyDescent="0.2">
      <c r="D44" s="5" t="s">
        <v>715</v>
      </c>
    </row>
    <row r="45" spans="2:4" x14ac:dyDescent="0.2">
      <c r="D45" s="5" t="s">
        <v>710</v>
      </c>
    </row>
    <row r="46" spans="2:4" x14ac:dyDescent="0.2">
      <c r="D46" s="5" t="s">
        <v>746</v>
      </c>
    </row>
    <row r="47" spans="2:4" x14ac:dyDescent="0.2">
      <c r="D47" s="5" t="s">
        <v>747</v>
      </c>
    </row>
    <row r="48" spans="2:4" x14ac:dyDescent="0.2">
      <c r="D48" s="5" t="s">
        <v>748</v>
      </c>
    </row>
  </sheetData>
  <autoFilter ref="A18:H18"/>
  <conditionalFormatting sqref="C17">
    <cfRule type="cellIs" dxfId="91" priority="1" stopIfTrue="1" operator="equal">
      <formula>$B$10</formula>
    </cfRule>
    <cfRule type="cellIs" dxfId="90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indexed="11"/>
  </sheetPr>
  <dimension ref="A1:H52"/>
  <sheetViews>
    <sheetView topLeftCell="A7" workbookViewId="0">
      <selection activeCell="F45" sqref="F45:H51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17</v>
      </c>
      <c r="C2" s="15">
        <f>IF(ISERROR(VALUE(TRIM(CLEAN(MID(C20,FIND("(",C20)+1,FIND("/",C20,1)-FIND("(",C20)-1))))),0,VALUE(TRIM(CLEAN(MID(C20,FIND("(",C20)+1,FIND("/",C20,1)-FIND("(",C20)-1)))))</f>
        <v>15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1</v>
      </c>
      <c r="C3" s="16">
        <f>IF(ISERROR(VALUE(TRIM(CLEAN(MID(C21,FIND("(",C21)+1,FIND("/",C21,1)-FIND("(",C21)-1))))),0,VALUE(TRIM(CLEAN(MID(C21,FIND("(",C21)+1,FIND("/",C21,1)-FIND("(",C21)-1)))))</f>
        <v>1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54</v>
      </c>
      <c r="C4" s="16">
        <f>IF(ISERROR(VALUE(TRIM(CLEAN(MID(C23,FIND("(",C23)+1,FIND("/",C23,1)-FIND("(",C23)-1))))),0,VALUE(TRIM(CLEAN(MID(C23,FIND("(",C23)+1,FIND("/",C23,1)-FIND("(",C23)-1)))))</f>
        <v>52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20</v>
      </c>
      <c r="C5" s="16">
        <f>IF(ISERROR(VALUE(TRIM(CLEAN(MID(C24,FIND("(",C24)+1,FIND("/",C24,1)-FIND("(",C24)-1))))),0,VALUE(TRIM(CLEAN(MID(C24,FIND("(",C24)+1,FIND("/",C24,1)-FIND("(",C24)-1)))))</f>
        <v>20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92</v>
      </c>
      <c r="C7" s="17">
        <f>SUM(C2:C5)</f>
        <v>88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4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4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4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750</v>
      </c>
    </row>
    <row r="20" spans="1:8" x14ac:dyDescent="0.2">
      <c r="C20" s="5" t="s">
        <v>751</v>
      </c>
    </row>
    <row r="21" spans="1:8" x14ac:dyDescent="0.2">
      <c r="C21" s="5" t="s">
        <v>731</v>
      </c>
    </row>
    <row r="22" spans="1:8" x14ac:dyDescent="0.2">
      <c r="C22" s="5" t="s">
        <v>752</v>
      </c>
    </row>
    <row r="23" spans="1:8" x14ac:dyDescent="0.2">
      <c r="C23" s="5" t="s">
        <v>753</v>
      </c>
    </row>
    <row r="24" spans="1:8" x14ac:dyDescent="0.2">
      <c r="C24" s="5" t="s">
        <v>754</v>
      </c>
    </row>
    <row r="25" spans="1:8" x14ac:dyDescent="0.2">
      <c r="B25" s="5" t="s">
        <v>755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756</v>
      </c>
    </row>
    <row r="32" spans="1:8" x14ac:dyDescent="0.2">
      <c r="D32" s="5" t="s">
        <v>709</v>
      </c>
    </row>
    <row r="33" spans="2:8" x14ac:dyDescent="0.2">
      <c r="D33" s="5" t="s">
        <v>710</v>
      </c>
    </row>
    <row r="34" spans="2:8" x14ac:dyDescent="0.2">
      <c r="D34" s="5" t="s">
        <v>711</v>
      </c>
    </row>
    <row r="35" spans="2:8" x14ac:dyDescent="0.2">
      <c r="D35" s="5" t="s">
        <v>712</v>
      </c>
    </row>
    <row r="36" spans="2:8" x14ac:dyDescent="0.2">
      <c r="D36" s="5" t="s">
        <v>713</v>
      </c>
    </row>
    <row r="37" spans="2:8" x14ac:dyDescent="0.2">
      <c r="B37" s="5" t="s">
        <v>757</v>
      </c>
    </row>
    <row r="38" spans="2:8" x14ac:dyDescent="0.2">
      <c r="D38" s="5" t="s">
        <v>709</v>
      </c>
    </row>
    <row r="39" spans="2:8" x14ac:dyDescent="0.2">
      <c r="D39" s="5" t="s">
        <v>710</v>
      </c>
    </row>
    <row r="40" spans="2:8" x14ac:dyDescent="0.2">
      <c r="D40" s="5" t="s">
        <v>711</v>
      </c>
    </row>
    <row r="41" spans="2:8" x14ac:dyDescent="0.2">
      <c r="D41" s="5" t="s">
        <v>712</v>
      </c>
    </row>
    <row r="42" spans="2:8" x14ac:dyDescent="0.2">
      <c r="D42" s="5" t="s">
        <v>713</v>
      </c>
    </row>
    <row r="43" spans="2:8" x14ac:dyDescent="0.2">
      <c r="B43" s="5" t="s">
        <v>758</v>
      </c>
    </row>
    <row r="44" spans="2:8" x14ac:dyDescent="0.2">
      <c r="D44" s="5" t="s">
        <v>759</v>
      </c>
    </row>
    <row r="45" spans="2:8" x14ac:dyDescent="0.2">
      <c r="E45" s="5" t="s">
        <v>760</v>
      </c>
      <c r="F45" s="5">
        <v>385</v>
      </c>
      <c r="G45" s="5" t="s">
        <v>19</v>
      </c>
      <c r="H45" s="5" t="s">
        <v>1156</v>
      </c>
    </row>
    <row r="46" spans="2:8" x14ac:dyDescent="0.2">
      <c r="E46" s="5" t="s">
        <v>761</v>
      </c>
      <c r="F46" s="5">
        <v>507</v>
      </c>
      <c r="G46" s="5" t="s">
        <v>19</v>
      </c>
      <c r="H46" s="5" t="s">
        <v>1156</v>
      </c>
    </row>
    <row r="47" spans="2:8" x14ac:dyDescent="0.2">
      <c r="D47" s="5" t="s">
        <v>731</v>
      </c>
    </row>
    <row r="48" spans="2:8" x14ac:dyDescent="0.2">
      <c r="D48" s="5" t="s">
        <v>762</v>
      </c>
    </row>
    <row r="49" spans="4:8" x14ac:dyDescent="0.2">
      <c r="D49" s="5" t="s">
        <v>753</v>
      </c>
    </row>
    <row r="50" spans="4:8" x14ac:dyDescent="0.2">
      <c r="E50" s="5" t="s">
        <v>763</v>
      </c>
      <c r="F50" s="5">
        <v>385</v>
      </c>
      <c r="G50" s="5" t="s">
        <v>19</v>
      </c>
      <c r="H50" s="5" t="s">
        <v>1156</v>
      </c>
    </row>
    <row r="51" spans="4:8" x14ac:dyDescent="0.2">
      <c r="E51" s="5" t="s">
        <v>764</v>
      </c>
      <c r="F51" s="5">
        <v>507</v>
      </c>
      <c r="G51" s="5" t="s">
        <v>19</v>
      </c>
      <c r="H51" s="5" t="s">
        <v>1156</v>
      </c>
    </row>
    <row r="52" spans="4:8" x14ac:dyDescent="0.2">
      <c r="D52" s="5" t="s">
        <v>754</v>
      </c>
    </row>
  </sheetData>
  <autoFilter ref="A18:H18"/>
  <conditionalFormatting sqref="C17">
    <cfRule type="cellIs" dxfId="89" priority="1" stopIfTrue="1" operator="equal">
      <formula>$B$10</formula>
    </cfRule>
    <cfRule type="cellIs" dxfId="88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indexed="11"/>
  </sheetPr>
  <dimension ref="A1:H52"/>
  <sheetViews>
    <sheetView workbookViewId="0">
      <selection activeCell="E34" sqref="E34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28</v>
      </c>
      <c r="C2" s="15">
        <f>IF(ISERROR(VALUE(TRIM(CLEAN(MID(C20,FIND("(",C20)+1,FIND("/",C20,1)-FIND("(",C20)-1))))),0,VALUE(TRIM(CLEAN(MID(C20,FIND("(",C20)+1,FIND("/",C20,1)-FIND("(",C20)-1)))))</f>
        <v>26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2</v>
      </c>
      <c r="C3" s="16">
        <f>IF(ISERROR(VALUE(TRIM(CLEAN(MID(C21,FIND("(",C21)+1,FIND("/",C21,1)-FIND("(",C21)-1))))),0,VALUE(TRIM(CLEAN(MID(C21,FIND("(",C21)+1,FIND("/",C21,1)-FIND("(",C21)-1)))))</f>
        <v>2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26</v>
      </c>
      <c r="C4" s="16">
        <f>IF(ISERROR(VALUE(TRIM(CLEAN(MID(C23,FIND("(",C23)+1,FIND("/",C23,1)-FIND("(",C23)-1))))),0,VALUE(TRIM(CLEAN(MID(C23,FIND("(",C23)+1,FIND("/",C23,1)-FIND("(",C23)-1)))))</f>
        <v>24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56</v>
      </c>
      <c r="C7" s="17">
        <f>SUM(C2:C5)</f>
        <v>52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4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4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4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766</v>
      </c>
    </row>
    <row r="20" spans="1:8" x14ac:dyDescent="0.2">
      <c r="C20" s="5" t="s">
        <v>767</v>
      </c>
    </row>
    <row r="21" spans="1:8" x14ac:dyDescent="0.2">
      <c r="C21" s="5" t="s">
        <v>768</v>
      </c>
    </row>
    <row r="22" spans="1:8" x14ac:dyDescent="0.2">
      <c r="C22" s="5" t="s">
        <v>769</v>
      </c>
    </row>
    <row r="23" spans="1:8" x14ac:dyDescent="0.2">
      <c r="C23" s="5" t="s">
        <v>770</v>
      </c>
    </row>
    <row r="24" spans="1:8" x14ac:dyDescent="0.2">
      <c r="C24" s="5" t="s">
        <v>713</v>
      </c>
    </row>
    <row r="25" spans="1:8" x14ac:dyDescent="0.2">
      <c r="B25" s="5" t="s">
        <v>771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772</v>
      </c>
    </row>
    <row r="32" spans="1:8" x14ac:dyDescent="0.2">
      <c r="D32" s="5" t="s">
        <v>709</v>
      </c>
    </row>
    <row r="33" spans="2:8" x14ac:dyDescent="0.2">
      <c r="D33" s="5" t="s">
        <v>710</v>
      </c>
    </row>
    <row r="34" spans="2:8" x14ac:dyDescent="0.2">
      <c r="D34" s="5" t="s">
        <v>711</v>
      </c>
    </row>
    <row r="35" spans="2:8" x14ac:dyDescent="0.2">
      <c r="D35" s="5" t="s">
        <v>712</v>
      </c>
    </row>
    <row r="36" spans="2:8" x14ac:dyDescent="0.2">
      <c r="D36" s="5" t="s">
        <v>713</v>
      </c>
    </row>
    <row r="37" spans="2:8" x14ac:dyDescent="0.2">
      <c r="B37" s="5" t="s">
        <v>773</v>
      </c>
    </row>
    <row r="38" spans="2:8" x14ac:dyDescent="0.2">
      <c r="D38" s="5" t="s">
        <v>709</v>
      </c>
    </row>
    <row r="39" spans="2:8" x14ac:dyDescent="0.2">
      <c r="D39" s="5" t="s">
        <v>710</v>
      </c>
    </row>
    <row r="40" spans="2:8" x14ac:dyDescent="0.2">
      <c r="D40" s="5" t="s">
        <v>711</v>
      </c>
    </row>
    <row r="41" spans="2:8" x14ac:dyDescent="0.2">
      <c r="D41" s="5" t="s">
        <v>712</v>
      </c>
    </row>
    <row r="42" spans="2:8" x14ac:dyDescent="0.2">
      <c r="D42" s="5" t="s">
        <v>713</v>
      </c>
    </row>
    <row r="43" spans="2:8" x14ac:dyDescent="0.2">
      <c r="B43" s="5" t="s">
        <v>774</v>
      </c>
    </row>
    <row r="44" spans="2:8" x14ac:dyDescent="0.2">
      <c r="D44" s="5" t="s">
        <v>775</v>
      </c>
    </row>
    <row r="45" spans="2:8" x14ac:dyDescent="0.2">
      <c r="E45" s="5" t="s">
        <v>776</v>
      </c>
      <c r="F45" s="5">
        <v>260</v>
      </c>
      <c r="G45" s="5" t="s">
        <v>19</v>
      </c>
      <c r="H45" s="5" t="s">
        <v>1156</v>
      </c>
    </row>
    <row r="46" spans="2:8" x14ac:dyDescent="0.2">
      <c r="E46" s="5" t="s">
        <v>777</v>
      </c>
      <c r="F46" s="5">
        <v>364</v>
      </c>
      <c r="G46" s="5" t="s">
        <v>19</v>
      </c>
      <c r="H46" s="5" t="s">
        <v>1156</v>
      </c>
    </row>
    <row r="47" spans="2:8" x14ac:dyDescent="0.2">
      <c r="D47" s="5" t="s">
        <v>768</v>
      </c>
    </row>
    <row r="48" spans="2:8" x14ac:dyDescent="0.2">
      <c r="D48" s="5" t="s">
        <v>778</v>
      </c>
    </row>
    <row r="49" spans="4:8" x14ac:dyDescent="0.2">
      <c r="D49" s="5" t="s">
        <v>770</v>
      </c>
    </row>
    <row r="50" spans="4:8" x14ac:dyDescent="0.2">
      <c r="E50" s="5" t="s">
        <v>779</v>
      </c>
      <c r="F50" s="5">
        <v>260</v>
      </c>
      <c r="G50" s="5" t="s">
        <v>19</v>
      </c>
      <c r="H50" s="5" t="s">
        <v>1156</v>
      </c>
    </row>
    <row r="51" spans="4:8" x14ac:dyDescent="0.2">
      <c r="E51" s="5" t="s">
        <v>780</v>
      </c>
      <c r="F51" s="5">
        <v>364</v>
      </c>
      <c r="G51" s="5" t="s">
        <v>19</v>
      </c>
      <c r="H51" s="5" t="s">
        <v>1156</v>
      </c>
    </row>
    <row r="52" spans="4:8" x14ac:dyDescent="0.2">
      <c r="D52" s="5" t="s">
        <v>713</v>
      </c>
    </row>
  </sheetData>
  <autoFilter ref="A18:H18"/>
  <conditionalFormatting sqref="C17">
    <cfRule type="cellIs" dxfId="87" priority="1" stopIfTrue="1" operator="equal">
      <formula>$B$10</formula>
    </cfRule>
    <cfRule type="cellIs" dxfId="86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4</v>
      </c>
      <c r="C2" s="15">
        <f>IF(ISERROR(VALUE(TRIM(CLEAN(MID(C20,FIND("(",C20)+1,FIND("/",C20,1)-FIND("(",C20)-1))))),0,VALUE(TRIM(CLEAN(MID(C20,FIND("(",C20)+1,FIND("/",C20,1)-FIND("(",C20)-1)))))</f>
        <v>4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1</v>
      </c>
      <c r="C3" s="16">
        <f>IF(ISERROR(VALUE(TRIM(CLEAN(MID(C21,FIND("(",C21)+1,FIND("/",C21,1)-FIND("(",C21)-1))))),0,VALUE(TRIM(CLEAN(MID(C21,FIND("(",C21)+1,FIND("/",C21,1)-FIND("(",C21)-1)))))</f>
        <v>1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4</v>
      </c>
      <c r="C4" s="16">
        <f>IF(ISERROR(VALUE(TRIM(CLEAN(MID(C23,FIND("(",C23)+1,FIND("/",C23,1)-FIND("(",C23)-1))))),0,VALUE(TRIM(CLEAN(MID(C23,FIND("(",C23)+1,FIND("/",C23,1)-FIND("(",C23)-1)))))</f>
        <v>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9</v>
      </c>
      <c r="C7" s="17">
        <f>SUM(C2:C5)</f>
        <v>9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782</v>
      </c>
    </row>
    <row r="20" spans="1:8" x14ac:dyDescent="0.2">
      <c r="C20" s="5" t="s">
        <v>783</v>
      </c>
    </row>
    <row r="21" spans="1:8" x14ac:dyDescent="0.2">
      <c r="C21" s="5" t="s">
        <v>731</v>
      </c>
    </row>
    <row r="22" spans="1:8" x14ac:dyDescent="0.2">
      <c r="C22" s="5" t="s">
        <v>784</v>
      </c>
    </row>
    <row r="23" spans="1:8" x14ac:dyDescent="0.2">
      <c r="C23" s="5" t="s">
        <v>785</v>
      </c>
    </row>
    <row r="24" spans="1:8" x14ac:dyDescent="0.2">
      <c r="C24" s="5" t="s">
        <v>713</v>
      </c>
    </row>
    <row r="25" spans="1:8" x14ac:dyDescent="0.2">
      <c r="B25" s="5" t="s">
        <v>786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787</v>
      </c>
    </row>
    <row r="32" spans="1:8" x14ac:dyDescent="0.2">
      <c r="D32" s="5" t="s">
        <v>788</v>
      </c>
    </row>
    <row r="33" spans="4:4" x14ac:dyDescent="0.2">
      <c r="D33" s="5" t="s">
        <v>731</v>
      </c>
    </row>
    <row r="34" spans="4:4" x14ac:dyDescent="0.2">
      <c r="D34" s="5" t="s">
        <v>789</v>
      </c>
    </row>
    <row r="35" spans="4:4" x14ac:dyDescent="0.2">
      <c r="D35" s="5" t="s">
        <v>785</v>
      </c>
    </row>
    <row r="36" spans="4:4" x14ac:dyDescent="0.2">
      <c r="D36" s="5" t="s">
        <v>713</v>
      </c>
    </row>
  </sheetData>
  <autoFilter ref="A18:H18"/>
  <conditionalFormatting sqref="C17">
    <cfRule type="cellIs" dxfId="85" priority="1" stopIfTrue="1" operator="equal">
      <formula>$B$10</formula>
    </cfRule>
    <cfRule type="cellIs" dxfId="84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</v>
      </c>
      <c r="C2" s="15">
        <f>IF(ISERROR(VALUE(TRIM(CLEAN(MID(C20,FIND("(",C20)+1,FIND("/",C20,1)-FIND("(",C20)-1))))),0,VALUE(TRIM(CLEAN(MID(C20,FIND("(",C20)+1,FIND("/",C20,1)-FIND("(",C20)-1)))))</f>
        <v>2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0</v>
      </c>
      <c r="C4" s="16">
        <f>IF(ISERROR(VALUE(TRIM(CLEAN(MID(C23,FIND("(",C23)+1,FIND("/",C23,1)-FIND("(",C23)-1))))),0,VALUE(TRIM(CLEAN(MID(C23,FIND("(",C23)+1,FIND("/",C23,1)-FIND("(",C23)-1)))))</f>
        <v>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</v>
      </c>
      <c r="C7" s="17">
        <f>SUM(C2:C5)</f>
        <v>2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791</v>
      </c>
    </row>
    <row r="20" spans="1:8" x14ac:dyDescent="0.2">
      <c r="C20" s="5" t="s">
        <v>730</v>
      </c>
    </row>
    <row r="21" spans="1:8" x14ac:dyDescent="0.2">
      <c r="C21" s="5" t="s">
        <v>710</v>
      </c>
    </row>
    <row r="22" spans="1:8" x14ac:dyDescent="0.2">
      <c r="C22" s="5" t="s">
        <v>792</v>
      </c>
    </row>
    <row r="23" spans="1:8" x14ac:dyDescent="0.2">
      <c r="C23" s="5" t="s">
        <v>712</v>
      </c>
    </row>
    <row r="24" spans="1:8" x14ac:dyDescent="0.2">
      <c r="C24" s="5" t="s">
        <v>713</v>
      </c>
    </row>
    <row r="25" spans="1:8" x14ac:dyDescent="0.2">
      <c r="B25" s="5" t="s">
        <v>793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794</v>
      </c>
    </row>
    <row r="32" spans="1:8" x14ac:dyDescent="0.2">
      <c r="D32" s="5" t="s">
        <v>709</v>
      </c>
    </row>
    <row r="33" spans="4:4" x14ac:dyDescent="0.2">
      <c r="D33" s="5" t="s">
        <v>710</v>
      </c>
    </row>
    <row r="34" spans="4:4" x14ac:dyDescent="0.2">
      <c r="D34" s="5" t="s">
        <v>711</v>
      </c>
    </row>
    <row r="35" spans="4:4" x14ac:dyDescent="0.2">
      <c r="D35" s="5" t="s">
        <v>712</v>
      </c>
    </row>
    <row r="36" spans="4:4" x14ac:dyDescent="0.2">
      <c r="D36" s="5" t="s">
        <v>713</v>
      </c>
    </row>
  </sheetData>
  <autoFilter ref="A18:H18"/>
  <conditionalFormatting sqref="C17">
    <cfRule type="cellIs" dxfId="83" priority="1" stopIfTrue="1" operator="equal">
      <formula>$B$10</formula>
    </cfRule>
    <cfRule type="cellIs" dxfId="82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indexed="11"/>
  </sheetPr>
  <dimension ref="A1:H30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5</v>
      </c>
      <c r="C2" s="15">
        <f>IF(ISERROR(VALUE(TRIM(CLEAN(MID(C20,FIND("(",C20)+1,FIND("/",C20,1)-FIND("(",C20)-1))))),0,VALUE(TRIM(CLEAN(MID(C20,FIND("(",C20)+1,FIND("/",C20,1)-FIND("(",C20)-1)))))</f>
        <v>5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2</v>
      </c>
      <c r="C3" s="16">
        <f>IF(ISERROR(VALUE(TRIM(CLEAN(MID(C21,FIND("(",C21)+1,FIND("/",C21,1)-FIND("(",C21)-1))))),0,VALUE(TRIM(CLEAN(MID(C21,FIND("(",C21)+1,FIND("/",C21,1)-FIND("(",C21)-1)))))</f>
        <v>2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8</v>
      </c>
      <c r="C4" s="16">
        <f>IF(ISERROR(VALUE(TRIM(CLEAN(MID(C23,FIND("(",C23)+1,FIND("/",C23,1)-FIND("(",C23)-1))))),0,VALUE(TRIM(CLEAN(MID(C23,FIND("(",C23)+1,FIND("/",C23,1)-FIND("(",C23)-1)))))</f>
        <v>8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2</v>
      </c>
      <c r="C5" s="16">
        <f>IF(ISERROR(VALUE(TRIM(CLEAN(MID(C24,FIND("(",C24)+1,FIND("/",C24,1)-FIND("(",C24)-1))))),0,VALUE(TRIM(CLEAN(MID(C24,FIND("(",C24)+1,FIND("/",C24,1)-FIND("(",C24)-1)))))</f>
        <v>2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17</v>
      </c>
      <c r="C7" s="17">
        <f>SUM(C2:C5)</f>
        <v>17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796</v>
      </c>
    </row>
    <row r="20" spans="1:8" x14ac:dyDescent="0.2">
      <c r="C20" s="5" t="s">
        <v>797</v>
      </c>
    </row>
    <row r="21" spans="1:8" x14ac:dyDescent="0.2">
      <c r="C21" s="5" t="s">
        <v>768</v>
      </c>
    </row>
    <row r="22" spans="1:8" x14ac:dyDescent="0.2">
      <c r="C22" s="5" t="s">
        <v>746</v>
      </c>
    </row>
    <row r="23" spans="1:8" x14ac:dyDescent="0.2">
      <c r="C23" s="5" t="s">
        <v>719</v>
      </c>
    </row>
    <row r="24" spans="1:8" x14ac:dyDescent="0.2">
      <c r="C24" s="5" t="s">
        <v>744</v>
      </c>
    </row>
    <row r="25" spans="1:8" x14ac:dyDescent="0.2">
      <c r="B25" s="5" t="s">
        <v>798</v>
      </c>
    </row>
    <row r="26" spans="1:8" x14ac:dyDescent="0.2">
      <c r="D26" s="5" t="s">
        <v>797</v>
      </c>
    </row>
    <row r="27" spans="1:8" x14ac:dyDescent="0.2">
      <c r="D27" s="5" t="s">
        <v>768</v>
      </c>
    </row>
    <row r="28" spans="1:8" x14ac:dyDescent="0.2">
      <c r="D28" s="5" t="s">
        <v>746</v>
      </c>
    </row>
    <row r="29" spans="1:8" x14ac:dyDescent="0.2">
      <c r="D29" s="5" t="s">
        <v>719</v>
      </c>
    </row>
    <row r="30" spans="1:8" x14ac:dyDescent="0.2">
      <c r="D30" s="5" t="s">
        <v>744</v>
      </c>
    </row>
  </sheetData>
  <autoFilter ref="A18:H18"/>
  <conditionalFormatting sqref="C17">
    <cfRule type="cellIs" dxfId="81" priority="1" stopIfTrue="1" operator="equal">
      <formula>$B$10</formula>
    </cfRule>
    <cfRule type="cellIs" dxfId="80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11"/>
  </sheetPr>
  <dimension ref="A1:H30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5</v>
      </c>
      <c r="C2" s="15">
        <f>IF(ISERROR(VALUE(TRIM(CLEAN(MID(C20,FIND("(",C20)+1,FIND("/",C20,1)-FIND("(",C20)-1))))),0,VALUE(TRIM(CLEAN(MID(C20,FIND("(",C20)+1,FIND("/",C20,1)-FIND("(",C20)-1)))))</f>
        <v>5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2</v>
      </c>
      <c r="C3" s="16">
        <f>IF(ISERROR(VALUE(TRIM(CLEAN(MID(C21,FIND("(",C21)+1,FIND("/",C21,1)-FIND("(",C21)-1))))),0,VALUE(TRIM(CLEAN(MID(C21,FIND("(",C21)+1,FIND("/",C21,1)-FIND("(",C21)-1)))))</f>
        <v>2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8</v>
      </c>
      <c r="C4" s="16">
        <f>IF(ISERROR(VALUE(TRIM(CLEAN(MID(C23,FIND("(",C23)+1,FIND("/",C23,1)-FIND("(",C23)-1))))),0,VALUE(TRIM(CLEAN(MID(C23,FIND("(",C23)+1,FIND("/",C23,1)-FIND("(",C23)-1)))))</f>
        <v>8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2</v>
      </c>
      <c r="C5" s="16">
        <f>IF(ISERROR(VALUE(TRIM(CLEAN(MID(C24,FIND("(",C24)+1,FIND("/",C24,1)-FIND("(",C24)-1))))),0,VALUE(TRIM(CLEAN(MID(C24,FIND("(",C24)+1,FIND("/",C24,1)-FIND("(",C24)-1)))))</f>
        <v>2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17</v>
      </c>
      <c r="C7" s="17">
        <f>SUM(C2:C5)</f>
        <v>17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800</v>
      </c>
    </row>
    <row r="20" spans="1:8" x14ac:dyDescent="0.2">
      <c r="C20" s="5" t="s">
        <v>797</v>
      </c>
    </row>
    <row r="21" spans="1:8" x14ac:dyDescent="0.2">
      <c r="C21" s="5" t="s">
        <v>768</v>
      </c>
    </row>
    <row r="22" spans="1:8" x14ac:dyDescent="0.2">
      <c r="C22" s="5" t="s">
        <v>746</v>
      </c>
    </row>
    <row r="23" spans="1:8" x14ac:dyDescent="0.2">
      <c r="C23" s="5" t="s">
        <v>719</v>
      </c>
    </row>
    <row r="24" spans="1:8" x14ac:dyDescent="0.2">
      <c r="C24" s="5" t="s">
        <v>744</v>
      </c>
    </row>
    <row r="25" spans="1:8" x14ac:dyDescent="0.2">
      <c r="B25" s="5" t="s">
        <v>801</v>
      </c>
    </row>
    <row r="26" spans="1:8" x14ac:dyDescent="0.2">
      <c r="D26" s="5" t="s">
        <v>797</v>
      </c>
    </row>
    <row r="27" spans="1:8" x14ac:dyDescent="0.2">
      <c r="D27" s="5" t="s">
        <v>768</v>
      </c>
    </row>
    <row r="28" spans="1:8" x14ac:dyDescent="0.2">
      <c r="D28" s="5" t="s">
        <v>746</v>
      </c>
    </row>
    <row r="29" spans="1:8" x14ac:dyDescent="0.2">
      <c r="D29" s="5" t="s">
        <v>719</v>
      </c>
    </row>
    <row r="30" spans="1:8" x14ac:dyDescent="0.2">
      <c r="D30" s="5" t="s">
        <v>744</v>
      </c>
    </row>
  </sheetData>
  <autoFilter ref="A18:H18"/>
  <conditionalFormatting sqref="C17">
    <cfRule type="cellIs" dxfId="79" priority="1" stopIfTrue="1" operator="equal">
      <formula>$B$10</formula>
    </cfRule>
    <cfRule type="cellIs" dxfId="78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8</v>
      </c>
      <c r="C2" s="15">
        <f>IF(ISERROR(VALUE(TRIM(CLEAN(MID(C20,FIND("(",C20)+1,FIND("/",C20,1)-FIND("(",C20)-1))))),0,VALUE(TRIM(CLEAN(MID(C20,FIND("(",C20)+1,FIND("/",C20,1)-FIND("(",C20)-1)))))</f>
        <v>8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26</v>
      </c>
      <c r="C4" s="16">
        <f>IF(ISERROR(VALUE(TRIM(CLEAN(MID(C23,FIND("(",C23)+1,FIND("/",C23,1)-FIND("(",C23)-1))))),0,VALUE(TRIM(CLEAN(MID(C23,FIND("(",C23)+1,FIND("/",C23,1)-FIND("(",C23)-1)))))</f>
        <v>26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10</v>
      </c>
      <c r="C5" s="16">
        <f>IF(ISERROR(VALUE(TRIM(CLEAN(MID(C24,FIND("(",C24)+1,FIND("/",C24,1)-FIND("(",C24)-1))))),0,VALUE(TRIM(CLEAN(MID(C24,FIND("(",C24)+1,FIND("/",C24,1)-FIND("(",C24)-1)))))</f>
        <v>10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44</v>
      </c>
      <c r="C7" s="17">
        <f>SUM(C2:C5)</f>
        <v>44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803</v>
      </c>
    </row>
    <row r="20" spans="1:8" x14ac:dyDescent="0.2">
      <c r="C20" s="5" t="s">
        <v>703</v>
      </c>
    </row>
    <row r="21" spans="1:8" x14ac:dyDescent="0.2">
      <c r="C21" s="5" t="s">
        <v>710</v>
      </c>
    </row>
    <row r="22" spans="1:8" x14ac:dyDescent="0.2">
      <c r="C22" s="5" t="s">
        <v>804</v>
      </c>
    </row>
    <row r="23" spans="1:8" x14ac:dyDescent="0.2">
      <c r="C23" s="5" t="s">
        <v>805</v>
      </c>
    </row>
    <row r="24" spans="1:8" x14ac:dyDescent="0.2">
      <c r="C24" s="5" t="s">
        <v>707</v>
      </c>
    </row>
    <row r="25" spans="1:8" x14ac:dyDescent="0.2">
      <c r="B25" s="5" t="s">
        <v>806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807</v>
      </c>
    </row>
    <row r="32" spans="1:8" x14ac:dyDescent="0.2">
      <c r="D32" s="5" t="s">
        <v>715</v>
      </c>
    </row>
    <row r="33" spans="4:4" x14ac:dyDescent="0.2">
      <c r="D33" s="5" t="s">
        <v>710</v>
      </c>
    </row>
    <row r="34" spans="4:4" x14ac:dyDescent="0.2">
      <c r="D34" s="5" t="s">
        <v>746</v>
      </c>
    </row>
    <row r="35" spans="4:4" x14ac:dyDescent="0.2">
      <c r="D35" s="5" t="s">
        <v>805</v>
      </c>
    </row>
    <row r="36" spans="4:4" x14ac:dyDescent="0.2">
      <c r="D36" s="5" t="s">
        <v>707</v>
      </c>
    </row>
  </sheetData>
  <autoFilter ref="A18:H18"/>
  <conditionalFormatting sqref="C17">
    <cfRule type="cellIs" dxfId="77" priority="1" stopIfTrue="1" operator="equal">
      <formula>$B$10</formula>
    </cfRule>
    <cfRule type="cellIs" dxfId="76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indexed="11"/>
  </sheetPr>
  <dimension ref="A1:H60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7</v>
      </c>
      <c r="C2" s="15">
        <f>IF(ISERROR(VALUE(TRIM(CLEAN(MID(C20,FIND("(",C20)+1,FIND("/",C20,1)-FIND("(",C20)-1))))),0,VALUE(TRIM(CLEAN(MID(C20,FIND("(",C20)+1,FIND("/",C20,1)-FIND("(",C20)-1)))))</f>
        <v>7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1</v>
      </c>
      <c r="C3" s="16">
        <f>IF(ISERROR(VALUE(TRIM(CLEAN(MID(C21,FIND("(",C21)+1,FIND("/",C21,1)-FIND("(",C21)-1))))),0,VALUE(TRIM(CLEAN(MID(C21,FIND("(",C21)+1,FIND("/",C21,1)-FIND("(",C21)-1)))))</f>
        <v>1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122</v>
      </c>
      <c r="C4" s="16">
        <f>IF(ISERROR(VALUE(TRIM(CLEAN(MID(C23,FIND("(",C23)+1,FIND("/",C23,1)-FIND("(",C23)-1))))),0,VALUE(TRIM(CLEAN(MID(C23,FIND("(",C23)+1,FIND("/",C23,1)-FIND("(",C23)-1)))))</f>
        <v>122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60</v>
      </c>
      <c r="C5" s="16">
        <f>IF(ISERROR(VALUE(TRIM(CLEAN(MID(C24,FIND("(",C24)+1,FIND("/",C24,1)-FIND("(",C24)-1))))),0,VALUE(TRIM(CLEAN(MID(C24,FIND("(",C24)+1,FIND("/",C24,1)-FIND("(",C24)-1)))))</f>
        <v>60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190</v>
      </c>
      <c r="C7" s="17">
        <f>SUM(C2:C5)</f>
        <v>190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809</v>
      </c>
    </row>
    <row r="20" spans="1:8" x14ac:dyDescent="0.2">
      <c r="C20" s="5" t="s">
        <v>715</v>
      </c>
    </row>
    <row r="21" spans="1:8" x14ac:dyDescent="0.2">
      <c r="C21" s="5" t="s">
        <v>731</v>
      </c>
    </row>
    <row r="22" spans="1:8" x14ac:dyDescent="0.2">
      <c r="C22" s="5" t="s">
        <v>804</v>
      </c>
    </row>
    <row r="23" spans="1:8" x14ac:dyDescent="0.2">
      <c r="C23" s="5" t="s">
        <v>810</v>
      </c>
    </row>
    <row r="24" spans="1:8" x14ac:dyDescent="0.2">
      <c r="C24" s="5" t="s">
        <v>811</v>
      </c>
    </row>
    <row r="25" spans="1:8" x14ac:dyDescent="0.2">
      <c r="B25" s="5" t="s">
        <v>812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813</v>
      </c>
    </row>
    <row r="32" spans="1:8" x14ac:dyDescent="0.2">
      <c r="D32" s="5" t="s">
        <v>709</v>
      </c>
    </row>
    <row r="33" spans="2:4" x14ac:dyDescent="0.2">
      <c r="D33" s="5" t="s">
        <v>710</v>
      </c>
    </row>
    <row r="34" spans="2:4" x14ac:dyDescent="0.2">
      <c r="D34" s="5" t="s">
        <v>711</v>
      </c>
    </row>
    <row r="35" spans="2:4" x14ac:dyDescent="0.2">
      <c r="D35" s="5" t="s">
        <v>712</v>
      </c>
    </row>
    <row r="36" spans="2:4" x14ac:dyDescent="0.2">
      <c r="D36" s="5" t="s">
        <v>713</v>
      </c>
    </row>
    <row r="37" spans="2:4" x14ac:dyDescent="0.2">
      <c r="B37" s="5" t="s">
        <v>814</v>
      </c>
    </row>
    <row r="38" spans="2:4" x14ac:dyDescent="0.2">
      <c r="D38" s="5" t="s">
        <v>709</v>
      </c>
    </row>
    <row r="39" spans="2:4" x14ac:dyDescent="0.2">
      <c r="D39" s="5" t="s">
        <v>710</v>
      </c>
    </row>
    <row r="40" spans="2:4" x14ac:dyDescent="0.2">
      <c r="D40" s="5" t="s">
        <v>711</v>
      </c>
    </row>
    <row r="41" spans="2:4" x14ac:dyDescent="0.2">
      <c r="D41" s="5" t="s">
        <v>712</v>
      </c>
    </row>
    <row r="42" spans="2:4" x14ac:dyDescent="0.2">
      <c r="D42" s="5" t="s">
        <v>713</v>
      </c>
    </row>
    <row r="43" spans="2:4" x14ac:dyDescent="0.2">
      <c r="B43" s="5" t="s">
        <v>815</v>
      </c>
    </row>
    <row r="44" spans="2:4" x14ac:dyDescent="0.2">
      <c r="D44" s="5" t="s">
        <v>709</v>
      </c>
    </row>
    <row r="45" spans="2:4" x14ac:dyDescent="0.2">
      <c r="D45" s="5" t="s">
        <v>710</v>
      </c>
    </row>
    <row r="46" spans="2:4" x14ac:dyDescent="0.2">
      <c r="D46" s="5" t="s">
        <v>711</v>
      </c>
    </row>
    <row r="47" spans="2:4" x14ac:dyDescent="0.2">
      <c r="D47" s="5" t="s">
        <v>816</v>
      </c>
    </row>
    <row r="48" spans="2:4" x14ac:dyDescent="0.2">
      <c r="D48" s="5" t="s">
        <v>811</v>
      </c>
    </row>
    <row r="49" spans="2:4" x14ac:dyDescent="0.2">
      <c r="B49" s="5" t="s">
        <v>817</v>
      </c>
    </row>
    <row r="50" spans="2:4" x14ac:dyDescent="0.2">
      <c r="D50" s="5" t="s">
        <v>709</v>
      </c>
    </row>
    <row r="51" spans="2:4" x14ac:dyDescent="0.2">
      <c r="D51" s="5" t="s">
        <v>710</v>
      </c>
    </row>
    <row r="52" spans="2:4" x14ac:dyDescent="0.2">
      <c r="D52" s="5" t="s">
        <v>711</v>
      </c>
    </row>
    <row r="53" spans="2:4" x14ac:dyDescent="0.2">
      <c r="D53" s="5" t="s">
        <v>712</v>
      </c>
    </row>
    <row r="54" spans="2:4" x14ac:dyDescent="0.2">
      <c r="D54" s="5" t="s">
        <v>713</v>
      </c>
    </row>
    <row r="55" spans="2:4" x14ac:dyDescent="0.2">
      <c r="B55" s="5" t="s">
        <v>818</v>
      </c>
    </row>
    <row r="56" spans="2:4" x14ac:dyDescent="0.2">
      <c r="D56" s="5" t="s">
        <v>730</v>
      </c>
    </row>
    <row r="57" spans="2:4" x14ac:dyDescent="0.2">
      <c r="D57" s="5" t="s">
        <v>731</v>
      </c>
    </row>
    <row r="58" spans="2:4" x14ac:dyDescent="0.2">
      <c r="D58" s="5" t="s">
        <v>732</v>
      </c>
    </row>
    <row r="59" spans="2:4" x14ac:dyDescent="0.2">
      <c r="D59" s="5" t="s">
        <v>733</v>
      </c>
    </row>
    <row r="60" spans="2:4" x14ac:dyDescent="0.2">
      <c r="D60" s="5" t="s">
        <v>713</v>
      </c>
    </row>
  </sheetData>
  <autoFilter ref="A18:H18"/>
  <conditionalFormatting sqref="C17">
    <cfRule type="cellIs" dxfId="75" priority="1" stopIfTrue="1" operator="equal">
      <formula>$B$10</formula>
    </cfRule>
    <cfRule type="cellIs" dxfId="74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21</v>
      </c>
      <c r="C2" s="15">
        <f>IF(ISERROR(VALUE(TRIM(CLEAN(MID(C20,FIND("(",C20)+1,FIND("/",C20,1)-FIND("(",C20)-1))))),0,VALUE(TRIM(CLEAN(MID(C20,FIND("(",C20)+1,FIND("/",C20,1)-FIND("(",C20)-1)))))</f>
        <v>21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1</v>
      </c>
      <c r="C3" s="16">
        <f>IF(ISERROR(VALUE(TRIM(CLEAN(MID(C21,FIND("(",C21)+1,FIND("/",C21,1)-FIND("(",C21)-1))))),0,VALUE(TRIM(CLEAN(MID(C21,FIND("(",C21)+1,FIND("/",C21,1)-FIND("(",C21)-1)))))</f>
        <v>1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40</v>
      </c>
      <c r="C4" s="16">
        <f>IF(ISERROR(VALUE(TRIM(CLEAN(MID(C23,FIND("(",C23)+1,FIND("/",C23,1)-FIND("(",C23)-1))))),0,VALUE(TRIM(CLEAN(MID(C23,FIND("(",C23)+1,FIND("/",C23,1)-FIND("(",C23)-1)))))</f>
        <v>40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14</v>
      </c>
      <c r="C5" s="16">
        <f>IF(ISERROR(VALUE(TRIM(CLEAN(MID(C24,FIND("(",C24)+1,FIND("/",C24,1)-FIND("(",C24)-1))))),0,VALUE(TRIM(CLEAN(MID(C24,FIND("(",C24)+1,FIND("/",C24,1)-FIND("(",C24)-1)))))</f>
        <v>14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76</v>
      </c>
      <c r="C7" s="17">
        <f>SUM(C2:C5)</f>
        <v>76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820</v>
      </c>
    </row>
    <row r="20" spans="1:8" x14ac:dyDescent="0.2">
      <c r="C20" s="5" t="s">
        <v>821</v>
      </c>
    </row>
    <row r="21" spans="1:8" x14ac:dyDescent="0.2">
      <c r="C21" s="5" t="s">
        <v>731</v>
      </c>
    </row>
    <row r="22" spans="1:8" x14ac:dyDescent="0.2">
      <c r="C22" s="5" t="s">
        <v>822</v>
      </c>
    </row>
    <row r="23" spans="1:8" x14ac:dyDescent="0.2">
      <c r="C23" s="5" t="s">
        <v>823</v>
      </c>
    </row>
    <row r="24" spans="1:8" x14ac:dyDescent="0.2">
      <c r="C24" s="5" t="s">
        <v>824</v>
      </c>
    </row>
    <row r="25" spans="1:8" x14ac:dyDescent="0.2">
      <c r="B25" s="5" t="s">
        <v>825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826</v>
      </c>
    </row>
    <row r="32" spans="1:8" x14ac:dyDescent="0.2">
      <c r="D32" s="5" t="s">
        <v>827</v>
      </c>
    </row>
    <row r="33" spans="4:4" x14ac:dyDescent="0.2">
      <c r="D33" s="5" t="s">
        <v>731</v>
      </c>
    </row>
    <row r="34" spans="4:4" x14ac:dyDescent="0.2">
      <c r="D34" s="5" t="s">
        <v>828</v>
      </c>
    </row>
    <row r="35" spans="4:4" x14ac:dyDescent="0.2">
      <c r="D35" s="5" t="s">
        <v>823</v>
      </c>
    </row>
    <row r="36" spans="4:4" x14ac:dyDescent="0.2">
      <c r="D36" s="5" t="s">
        <v>824</v>
      </c>
    </row>
  </sheetData>
  <autoFilter ref="A18:H18"/>
  <conditionalFormatting sqref="C17">
    <cfRule type="cellIs" dxfId="73" priority="1" stopIfTrue="1" operator="equal">
      <formula>$B$10</formula>
    </cfRule>
    <cfRule type="cellIs" dxfId="72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indexed="11"/>
  </sheetPr>
  <dimension ref="A1:H30"/>
  <sheetViews>
    <sheetView workbookViewId="0">
      <selection activeCell="E3" sqref="E3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34</v>
      </c>
      <c r="C2" s="15">
        <f>IF(ISERROR(VALUE(TRIM(CLEAN(MID(C20,FIND("(",C20)+1,FIND("/",C20,1)-FIND("(",C20)-1))))),0,VALUE(TRIM(CLEAN(MID(C20,FIND("(",C20)+1,FIND("/",C20,1)-FIND("(",C20)-1)))))</f>
        <v>34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19</v>
      </c>
      <c r="C3" s="16">
        <f>IF(ISERROR(VALUE(TRIM(CLEAN(MID(C21,FIND("(",C21)+1,FIND("/",C21,1)-FIND("(",C21)-1))))),0,VALUE(TRIM(CLEAN(MID(C21,FIND("(",C21)+1,FIND("/",C21,1)-FIND("(",C21)-1)))))</f>
        <v>19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338</v>
      </c>
      <c r="C4" s="16">
        <f>IF(ISERROR(VALUE(TRIM(CLEAN(MID(C23,FIND("(",C23)+1,FIND("/",C23,1)-FIND("(",C23)-1))))),0,VALUE(TRIM(CLEAN(MID(C23,FIND("(",C23)+1,FIND("/",C23,1)-FIND("(",C23)-1)))))</f>
        <v>338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154</v>
      </c>
      <c r="C5" s="16">
        <f>IF(ISERROR(VALUE(TRIM(CLEAN(MID(C24,FIND("(",C24)+1,FIND("/",C24,1)-FIND("(",C24)-1))))),0,VALUE(TRIM(CLEAN(MID(C24,FIND("(",C24)+1,FIND("/",C24,1)-FIND("(",C24)-1)))))</f>
        <v>154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545</v>
      </c>
      <c r="C7" s="17">
        <f>SUM(C2:C5)</f>
        <v>545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830</v>
      </c>
    </row>
    <row r="20" spans="1:8" x14ac:dyDescent="0.2">
      <c r="C20" s="5" t="s">
        <v>831</v>
      </c>
    </row>
    <row r="21" spans="1:8" x14ac:dyDescent="0.2">
      <c r="C21" s="5" t="s">
        <v>832</v>
      </c>
    </row>
    <row r="22" spans="1:8" x14ac:dyDescent="0.2">
      <c r="C22" s="5" t="s">
        <v>833</v>
      </c>
    </row>
    <row r="23" spans="1:8" x14ac:dyDescent="0.2">
      <c r="C23" s="5" t="s">
        <v>834</v>
      </c>
    </row>
    <row r="24" spans="1:8" x14ac:dyDescent="0.2">
      <c r="C24" s="5" t="s">
        <v>835</v>
      </c>
    </row>
    <row r="25" spans="1:8" x14ac:dyDescent="0.2">
      <c r="B25" s="5" t="s">
        <v>836</v>
      </c>
    </row>
    <row r="26" spans="1:8" x14ac:dyDescent="0.2">
      <c r="D26" s="5" t="s">
        <v>831</v>
      </c>
    </row>
    <row r="27" spans="1:8" x14ac:dyDescent="0.2">
      <c r="D27" s="5" t="s">
        <v>832</v>
      </c>
    </row>
    <row r="28" spans="1:8" x14ac:dyDescent="0.2">
      <c r="D28" s="5" t="s">
        <v>833</v>
      </c>
    </row>
    <row r="29" spans="1:8" x14ac:dyDescent="0.2">
      <c r="D29" s="5" t="s">
        <v>834</v>
      </c>
    </row>
    <row r="30" spans="1:8" x14ac:dyDescent="0.2">
      <c r="D30" s="5" t="s">
        <v>835</v>
      </c>
    </row>
  </sheetData>
  <autoFilter ref="A18:H18"/>
  <conditionalFormatting sqref="C17">
    <cfRule type="cellIs" dxfId="71" priority="1" stopIfTrue="1" operator="equal">
      <formula>$B$10</formula>
    </cfRule>
    <cfRule type="cellIs" dxfId="70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indexed="11"/>
  </sheetPr>
  <dimension ref="A1:H54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5</v>
      </c>
      <c r="C2" s="15">
        <f>IF(ISERROR(VALUE(TRIM(CLEAN(MID(C20,FIND("(",C20)+1,FIND("/",C20,1)-FIND("(",C20)-1))))),0,VALUE(TRIM(CLEAN(MID(C20,FIND("(",C20)+1,FIND("/",C20,1)-FIND("(",C20)-1)))))</f>
        <v>5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0</v>
      </c>
      <c r="C4" s="16">
        <f>IF(ISERROR(VALUE(TRIM(CLEAN(MID(C23,FIND("(",C23)+1,FIND("/",C23,1)-FIND("(",C23)-1))))),0,VALUE(TRIM(CLEAN(MID(C23,FIND("(",C23)+1,FIND("/",C23,1)-FIND("(",C23)-1)))))</f>
        <v>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5</v>
      </c>
      <c r="C7" s="17">
        <f>SUM(C2:C5)</f>
        <v>5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838</v>
      </c>
    </row>
    <row r="20" spans="1:8" x14ac:dyDescent="0.2">
      <c r="C20" s="5" t="s">
        <v>797</v>
      </c>
    </row>
    <row r="21" spans="1:8" x14ac:dyDescent="0.2">
      <c r="C21" s="5" t="s">
        <v>710</v>
      </c>
    </row>
    <row r="22" spans="1:8" x14ac:dyDescent="0.2">
      <c r="C22" s="5" t="s">
        <v>784</v>
      </c>
    </row>
    <row r="23" spans="1:8" x14ac:dyDescent="0.2">
      <c r="C23" s="5" t="s">
        <v>712</v>
      </c>
    </row>
    <row r="24" spans="1:8" x14ac:dyDescent="0.2">
      <c r="C24" s="5" t="s">
        <v>713</v>
      </c>
    </row>
    <row r="25" spans="1:8" x14ac:dyDescent="0.2">
      <c r="B25" s="5" t="s">
        <v>839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840</v>
      </c>
    </row>
    <row r="32" spans="1:8" x14ac:dyDescent="0.2">
      <c r="D32" s="5" t="s">
        <v>709</v>
      </c>
    </row>
    <row r="33" spans="2:4" x14ac:dyDescent="0.2">
      <c r="D33" s="5" t="s">
        <v>710</v>
      </c>
    </row>
    <row r="34" spans="2:4" x14ac:dyDescent="0.2">
      <c r="D34" s="5" t="s">
        <v>711</v>
      </c>
    </row>
    <row r="35" spans="2:4" x14ac:dyDescent="0.2">
      <c r="D35" s="5" t="s">
        <v>712</v>
      </c>
    </row>
    <row r="36" spans="2:4" x14ac:dyDescent="0.2">
      <c r="D36" s="5" t="s">
        <v>713</v>
      </c>
    </row>
    <row r="37" spans="2:4" x14ac:dyDescent="0.2">
      <c r="B37" s="5" t="s">
        <v>841</v>
      </c>
    </row>
    <row r="38" spans="2:4" x14ac:dyDescent="0.2">
      <c r="D38" s="5" t="s">
        <v>709</v>
      </c>
    </row>
    <row r="39" spans="2:4" x14ac:dyDescent="0.2">
      <c r="D39" s="5" t="s">
        <v>710</v>
      </c>
    </row>
    <row r="40" spans="2:4" x14ac:dyDescent="0.2">
      <c r="D40" s="5" t="s">
        <v>711</v>
      </c>
    </row>
    <row r="41" spans="2:4" x14ac:dyDescent="0.2">
      <c r="D41" s="5" t="s">
        <v>712</v>
      </c>
    </row>
    <row r="42" spans="2:4" x14ac:dyDescent="0.2">
      <c r="D42" s="5" t="s">
        <v>713</v>
      </c>
    </row>
    <row r="43" spans="2:4" x14ac:dyDescent="0.2">
      <c r="B43" s="5" t="s">
        <v>842</v>
      </c>
    </row>
    <row r="44" spans="2:4" x14ac:dyDescent="0.2">
      <c r="D44" s="5" t="s">
        <v>709</v>
      </c>
    </row>
    <row r="45" spans="2:4" x14ac:dyDescent="0.2">
      <c r="D45" s="5" t="s">
        <v>710</v>
      </c>
    </row>
    <row r="46" spans="2:4" x14ac:dyDescent="0.2">
      <c r="D46" s="5" t="s">
        <v>711</v>
      </c>
    </row>
    <row r="47" spans="2:4" x14ac:dyDescent="0.2">
      <c r="D47" s="5" t="s">
        <v>712</v>
      </c>
    </row>
    <row r="48" spans="2:4" x14ac:dyDescent="0.2">
      <c r="D48" s="5" t="s">
        <v>713</v>
      </c>
    </row>
    <row r="49" spans="2:4" x14ac:dyDescent="0.2">
      <c r="B49" s="5" t="s">
        <v>843</v>
      </c>
    </row>
    <row r="50" spans="2:4" x14ac:dyDescent="0.2">
      <c r="D50" s="5" t="s">
        <v>709</v>
      </c>
    </row>
    <row r="51" spans="2:4" x14ac:dyDescent="0.2">
      <c r="D51" s="5" t="s">
        <v>710</v>
      </c>
    </row>
    <row r="52" spans="2:4" x14ac:dyDescent="0.2">
      <c r="D52" s="5" t="s">
        <v>711</v>
      </c>
    </row>
    <row r="53" spans="2:4" x14ac:dyDescent="0.2">
      <c r="D53" s="5" t="s">
        <v>712</v>
      </c>
    </row>
    <row r="54" spans="2:4" x14ac:dyDescent="0.2">
      <c r="D54" s="5" t="s">
        <v>713</v>
      </c>
    </row>
  </sheetData>
  <autoFilter ref="A18:H18"/>
  <conditionalFormatting sqref="C17">
    <cfRule type="cellIs" dxfId="69" priority="1" stopIfTrue="1" operator="equal">
      <formula>$B$10</formula>
    </cfRule>
    <cfRule type="cellIs" dxfId="68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indexed="11"/>
  </sheetPr>
  <dimension ref="A1:H60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7</v>
      </c>
      <c r="C2" s="15">
        <f>IF(ISERROR(VALUE(TRIM(CLEAN(MID(C20,FIND("(",C20)+1,FIND("/",C20,1)-FIND("(",C20)-1))))),0,VALUE(TRIM(CLEAN(MID(C20,FIND("(",C20)+1,FIND("/",C20,1)-FIND("(",C20)-1)))))</f>
        <v>7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1</v>
      </c>
      <c r="C3" s="16">
        <f>IF(ISERROR(VALUE(TRIM(CLEAN(MID(C21,FIND("(",C21)+1,FIND("/",C21,1)-FIND("(",C21)-1))))),0,VALUE(TRIM(CLEAN(MID(C21,FIND("(",C21)+1,FIND("/",C21,1)-FIND("(",C21)-1)))))</f>
        <v>1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22</v>
      </c>
      <c r="C4" s="16">
        <f>IF(ISERROR(VALUE(TRIM(CLEAN(MID(C23,FIND("(",C23)+1,FIND("/",C23,1)-FIND("(",C23)-1))))),0,VALUE(TRIM(CLEAN(MID(C23,FIND("(",C23)+1,FIND("/",C23,1)-FIND("(",C23)-1)))))</f>
        <v>22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10</v>
      </c>
      <c r="C5" s="16">
        <f>IF(ISERROR(VALUE(TRIM(CLEAN(MID(C24,FIND("(",C24)+1,FIND("/",C24,1)-FIND("(",C24)-1))))),0,VALUE(TRIM(CLEAN(MID(C24,FIND("(",C24)+1,FIND("/",C24,1)-FIND("(",C24)-1)))))</f>
        <v>10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40</v>
      </c>
      <c r="C7" s="17">
        <f>SUM(C2:C5)</f>
        <v>40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845</v>
      </c>
    </row>
    <row r="20" spans="1:8" x14ac:dyDescent="0.2">
      <c r="C20" s="5" t="s">
        <v>715</v>
      </c>
    </row>
    <row r="21" spans="1:8" x14ac:dyDescent="0.2">
      <c r="C21" s="5" t="s">
        <v>731</v>
      </c>
    </row>
    <row r="22" spans="1:8" x14ac:dyDescent="0.2">
      <c r="C22" s="5" t="s">
        <v>804</v>
      </c>
    </row>
    <row r="23" spans="1:8" x14ac:dyDescent="0.2">
      <c r="C23" s="5" t="s">
        <v>846</v>
      </c>
    </row>
    <row r="24" spans="1:8" x14ac:dyDescent="0.2">
      <c r="C24" s="5" t="s">
        <v>707</v>
      </c>
    </row>
    <row r="25" spans="1:8" x14ac:dyDescent="0.2">
      <c r="B25" s="5" t="s">
        <v>847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848</v>
      </c>
    </row>
    <row r="32" spans="1:8" x14ac:dyDescent="0.2">
      <c r="D32" s="5" t="s">
        <v>709</v>
      </c>
    </row>
    <row r="33" spans="2:4" x14ac:dyDescent="0.2">
      <c r="D33" s="5" t="s">
        <v>710</v>
      </c>
    </row>
    <row r="34" spans="2:4" x14ac:dyDescent="0.2">
      <c r="D34" s="5" t="s">
        <v>711</v>
      </c>
    </row>
    <row r="35" spans="2:4" x14ac:dyDescent="0.2">
      <c r="D35" s="5" t="s">
        <v>712</v>
      </c>
    </row>
    <row r="36" spans="2:4" x14ac:dyDescent="0.2">
      <c r="D36" s="5" t="s">
        <v>713</v>
      </c>
    </row>
    <row r="37" spans="2:4" x14ac:dyDescent="0.2">
      <c r="B37" s="5" t="s">
        <v>849</v>
      </c>
    </row>
    <row r="38" spans="2:4" x14ac:dyDescent="0.2">
      <c r="D38" s="5" t="s">
        <v>709</v>
      </c>
    </row>
    <row r="39" spans="2:4" x14ac:dyDescent="0.2">
      <c r="D39" s="5" t="s">
        <v>710</v>
      </c>
    </row>
    <row r="40" spans="2:4" x14ac:dyDescent="0.2">
      <c r="D40" s="5" t="s">
        <v>711</v>
      </c>
    </row>
    <row r="41" spans="2:4" x14ac:dyDescent="0.2">
      <c r="D41" s="5" t="s">
        <v>712</v>
      </c>
    </row>
    <row r="42" spans="2:4" x14ac:dyDescent="0.2">
      <c r="D42" s="5" t="s">
        <v>713</v>
      </c>
    </row>
    <row r="43" spans="2:4" x14ac:dyDescent="0.2">
      <c r="B43" s="5" t="s">
        <v>850</v>
      </c>
    </row>
    <row r="44" spans="2:4" x14ac:dyDescent="0.2">
      <c r="D44" s="5" t="s">
        <v>709</v>
      </c>
    </row>
    <row r="45" spans="2:4" x14ac:dyDescent="0.2">
      <c r="D45" s="5" t="s">
        <v>710</v>
      </c>
    </row>
    <row r="46" spans="2:4" x14ac:dyDescent="0.2">
      <c r="D46" s="5" t="s">
        <v>711</v>
      </c>
    </row>
    <row r="47" spans="2:4" x14ac:dyDescent="0.2">
      <c r="D47" s="5" t="s">
        <v>851</v>
      </c>
    </row>
    <row r="48" spans="2:4" x14ac:dyDescent="0.2">
      <c r="D48" s="5" t="s">
        <v>707</v>
      </c>
    </row>
    <row r="49" spans="2:4" x14ac:dyDescent="0.2">
      <c r="B49" s="5" t="s">
        <v>852</v>
      </c>
    </row>
    <row r="50" spans="2:4" x14ac:dyDescent="0.2">
      <c r="D50" s="5" t="s">
        <v>709</v>
      </c>
    </row>
    <row r="51" spans="2:4" x14ac:dyDescent="0.2">
      <c r="D51" s="5" t="s">
        <v>710</v>
      </c>
    </row>
    <row r="52" spans="2:4" x14ac:dyDescent="0.2">
      <c r="D52" s="5" t="s">
        <v>711</v>
      </c>
    </row>
    <row r="53" spans="2:4" x14ac:dyDescent="0.2">
      <c r="D53" s="5" t="s">
        <v>712</v>
      </c>
    </row>
    <row r="54" spans="2:4" x14ac:dyDescent="0.2">
      <c r="D54" s="5" t="s">
        <v>713</v>
      </c>
    </row>
    <row r="55" spans="2:4" x14ac:dyDescent="0.2">
      <c r="B55" s="5" t="s">
        <v>853</v>
      </c>
    </row>
    <row r="56" spans="2:4" x14ac:dyDescent="0.2">
      <c r="D56" s="5" t="s">
        <v>730</v>
      </c>
    </row>
    <row r="57" spans="2:4" x14ac:dyDescent="0.2">
      <c r="D57" s="5" t="s">
        <v>731</v>
      </c>
    </row>
    <row r="58" spans="2:4" x14ac:dyDescent="0.2">
      <c r="D58" s="5" t="s">
        <v>732</v>
      </c>
    </row>
    <row r="59" spans="2:4" x14ac:dyDescent="0.2">
      <c r="D59" s="5" t="s">
        <v>733</v>
      </c>
    </row>
    <row r="60" spans="2:4" x14ac:dyDescent="0.2">
      <c r="D60" s="5" t="s">
        <v>713</v>
      </c>
    </row>
  </sheetData>
  <autoFilter ref="A18:H18"/>
  <conditionalFormatting sqref="C17">
    <cfRule type="cellIs" dxfId="67" priority="1" stopIfTrue="1" operator="equal">
      <formula>$B$10</formula>
    </cfRule>
    <cfRule type="cellIs" dxfId="66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indexed="11"/>
  </sheetPr>
  <dimension ref="A1:H30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</v>
      </c>
      <c r="C2" s="15">
        <f>IF(ISERROR(VALUE(TRIM(CLEAN(MID(C20,FIND("(",C20)+1,FIND("/",C20,1)-FIND("(",C20)-1))))),0,VALUE(TRIM(CLEAN(MID(C20,FIND("(",C20)+1,FIND("/",C20,1)-FIND("(",C20)-1)))))</f>
        <v>1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44</v>
      </c>
      <c r="C4" s="16">
        <f>IF(ISERROR(VALUE(TRIM(CLEAN(MID(C23,FIND("(",C23)+1,FIND("/",C23,1)-FIND("(",C23)-1))))),0,VALUE(TRIM(CLEAN(MID(C23,FIND("(",C23)+1,FIND("/",C23,1)-FIND("(",C23)-1)))))</f>
        <v>44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22</v>
      </c>
      <c r="C5" s="16">
        <f>IF(ISERROR(VALUE(TRIM(CLEAN(MID(C24,FIND("(",C24)+1,FIND("/",C24,1)-FIND("(",C24)-1))))),0,VALUE(TRIM(CLEAN(MID(C24,FIND("(",C24)+1,FIND("/",C24,1)-FIND("(",C24)-1)))))</f>
        <v>22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67</v>
      </c>
      <c r="C7" s="17">
        <f>SUM(C2:C5)</f>
        <v>67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855</v>
      </c>
    </row>
    <row r="20" spans="1:8" x14ac:dyDescent="0.2">
      <c r="C20" s="5" t="s">
        <v>709</v>
      </c>
    </row>
    <row r="21" spans="1:8" x14ac:dyDescent="0.2">
      <c r="C21" s="5" t="s">
        <v>710</v>
      </c>
    </row>
    <row r="22" spans="1:8" x14ac:dyDescent="0.2">
      <c r="C22" s="5" t="s">
        <v>711</v>
      </c>
    </row>
    <row r="23" spans="1:8" x14ac:dyDescent="0.2">
      <c r="C23" s="5" t="s">
        <v>856</v>
      </c>
    </row>
    <row r="24" spans="1:8" x14ac:dyDescent="0.2">
      <c r="C24" s="5" t="s">
        <v>857</v>
      </c>
    </row>
    <row r="25" spans="1:8" x14ac:dyDescent="0.2">
      <c r="B25" s="5" t="s">
        <v>858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856</v>
      </c>
    </row>
    <row r="30" spans="1:8" x14ac:dyDescent="0.2">
      <c r="D30" s="5" t="s">
        <v>857</v>
      </c>
    </row>
  </sheetData>
  <autoFilter ref="A18:H18"/>
  <conditionalFormatting sqref="C17">
    <cfRule type="cellIs" dxfId="65" priority="1" stopIfTrue="1" operator="equal">
      <formula>$B$10</formula>
    </cfRule>
    <cfRule type="cellIs" dxfId="64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indexed="11"/>
  </sheetPr>
  <dimension ref="A1:H58"/>
  <sheetViews>
    <sheetView topLeftCell="A4" workbookViewId="0">
      <selection activeCell="F45" sqref="F45:H51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104</v>
      </c>
      <c r="C2" s="15">
        <f>IF(ISERROR(VALUE(TRIM(CLEAN(MID(C20,FIND("(",C20)+1,FIND("/",C20,1)-FIND("(",C20)-1))))),0,VALUE(TRIM(CLEAN(MID(C20,FIND("(",C20)+1,FIND("/",C20,1)-FIND("(",C20)-1)))))</f>
        <v>102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8</v>
      </c>
      <c r="C3" s="16">
        <f>IF(ISERROR(VALUE(TRIM(CLEAN(MID(C21,FIND("(",C21)+1,FIND("/",C21,1)-FIND("(",C21)-1))))),0,VALUE(TRIM(CLEAN(MID(C21,FIND("(",C21)+1,FIND("/",C21,1)-FIND("(",C21)-1)))))</f>
        <v>8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166</v>
      </c>
      <c r="C4" s="16">
        <f>IF(ISERROR(VALUE(TRIM(CLEAN(MID(C23,FIND("(",C23)+1,FIND("/",C23,1)-FIND("(",C23)-1))))),0,VALUE(TRIM(CLEAN(MID(C23,FIND("(",C23)+1,FIND("/",C23,1)-FIND("(",C23)-1)))))</f>
        <v>164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41</v>
      </c>
      <c r="C5" s="16">
        <f>IF(ISERROR(VALUE(TRIM(CLEAN(MID(C24,FIND("(",C24)+1,FIND("/",C24,1)-FIND("(",C24)-1))))),0,VALUE(TRIM(CLEAN(MID(C24,FIND("(",C24)+1,FIND("/",C24,1)-FIND("(",C24)-1)))))</f>
        <v>41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319</v>
      </c>
      <c r="C7" s="17">
        <f>SUM(C2:C5)</f>
        <v>315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4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4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4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860</v>
      </c>
    </row>
    <row r="20" spans="1:8" x14ac:dyDescent="0.2">
      <c r="C20" s="5" t="s">
        <v>861</v>
      </c>
    </row>
    <row r="21" spans="1:8" x14ac:dyDescent="0.2">
      <c r="C21" s="5" t="s">
        <v>862</v>
      </c>
    </row>
    <row r="22" spans="1:8" x14ac:dyDescent="0.2">
      <c r="C22" s="5" t="s">
        <v>863</v>
      </c>
    </row>
    <row r="23" spans="1:8" x14ac:dyDescent="0.2">
      <c r="C23" s="5" t="s">
        <v>864</v>
      </c>
    </row>
    <row r="24" spans="1:8" x14ac:dyDescent="0.2">
      <c r="C24" s="5" t="s">
        <v>865</v>
      </c>
    </row>
    <row r="25" spans="1:8" x14ac:dyDescent="0.2">
      <c r="B25" s="5" t="s">
        <v>866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867</v>
      </c>
    </row>
    <row r="32" spans="1:8" x14ac:dyDescent="0.2">
      <c r="D32" s="5" t="s">
        <v>709</v>
      </c>
    </row>
    <row r="33" spans="2:8" x14ac:dyDescent="0.2">
      <c r="D33" s="5" t="s">
        <v>710</v>
      </c>
    </row>
    <row r="34" spans="2:8" x14ac:dyDescent="0.2">
      <c r="D34" s="5" t="s">
        <v>711</v>
      </c>
    </row>
    <row r="35" spans="2:8" x14ac:dyDescent="0.2">
      <c r="D35" s="5" t="s">
        <v>712</v>
      </c>
    </row>
    <row r="36" spans="2:8" x14ac:dyDescent="0.2">
      <c r="D36" s="5" t="s">
        <v>713</v>
      </c>
    </row>
    <row r="37" spans="2:8" x14ac:dyDescent="0.2">
      <c r="B37" s="5" t="s">
        <v>868</v>
      </c>
    </row>
    <row r="38" spans="2:8" x14ac:dyDescent="0.2">
      <c r="D38" s="5" t="s">
        <v>709</v>
      </c>
    </row>
    <row r="39" spans="2:8" x14ac:dyDescent="0.2">
      <c r="D39" s="5" t="s">
        <v>710</v>
      </c>
    </row>
    <row r="40" spans="2:8" x14ac:dyDescent="0.2">
      <c r="D40" s="5" t="s">
        <v>711</v>
      </c>
    </row>
    <row r="41" spans="2:8" x14ac:dyDescent="0.2">
      <c r="D41" s="5" t="s">
        <v>712</v>
      </c>
    </row>
    <row r="42" spans="2:8" x14ac:dyDescent="0.2">
      <c r="D42" s="5" t="s">
        <v>713</v>
      </c>
    </row>
    <row r="43" spans="2:8" x14ac:dyDescent="0.2">
      <c r="B43" s="5" t="s">
        <v>869</v>
      </c>
    </row>
    <row r="44" spans="2:8" x14ac:dyDescent="0.2">
      <c r="D44" s="5" t="s">
        <v>870</v>
      </c>
    </row>
    <row r="45" spans="2:8" x14ac:dyDescent="0.2">
      <c r="E45" s="5" t="s">
        <v>871</v>
      </c>
      <c r="F45" s="5">
        <v>455</v>
      </c>
      <c r="G45" s="5" t="s">
        <v>19</v>
      </c>
      <c r="H45" s="5" t="s">
        <v>1156</v>
      </c>
    </row>
    <row r="46" spans="2:8" x14ac:dyDescent="0.2">
      <c r="E46" s="5" t="s">
        <v>872</v>
      </c>
      <c r="F46" s="5">
        <v>1179</v>
      </c>
      <c r="G46" s="5" t="s">
        <v>19</v>
      </c>
      <c r="H46" s="5" t="s">
        <v>1156</v>
      </c>
    </row>
    <row r="47" spans="2:8" x14ac:dyDescent="0.2">
      <c r="D47" s="5" t="s">
        <v>862</v>
      </c>
    </row>
    <row r="48" spans="2:8" x14ac:dyDescent="0.2">
      <c r="D48" s="5" t="s">
        <v>873</v>
      </c>
    </row>
    <row r="49" spans="2:8" x14ac:dyDescent="0.2">
      <c r="D49" s="5" t="s">
        <v>864</v>
      </c>
    </row>
    <row r="50" spans="2:8" x14ac:dyDescent="0.2">
      <c r="E50" s="5" t="s">
        <v>874</v>
      </c>
      <c r="F50" s="5">
        <v>455</v>
      </c>
      <c r="G50" s="5" t="s">
        <v>19</v>
      </c>
      <c r="H50" s="5" t="s">
        <v>1156</v>
      </c>
    </row>
    <row r="51" spans="2:8" x14ac:dyDescent="0.2">
      <c r="E51" s="5" t="s">
        <v>875</v>
      </c>
      <c r="F51" s="5">
        <v>1179</v>
      </c>
      <c r="G51" s="5" t="s">
        <v>19</v>
      </c>
      <c r="H51" s="5" t="s">
        <v>1156</v>
      </c>
    </row>
    <row r="52" spans="2:8" x14ac:dyDescent="0.2">
      <c r="D52" s="5" t="s">
        <v>865</v>
      </c>
    </row>
    <row r="53" spans="2:8" x14ac:dyDescent="0.2">
      <c r="B53" s="5" t="s">
        <v>876</v>
      </c>
    </row>
    <row r="54" spans="2:8" x14ac:dyDescent="0.2">
      <c r="D54" s="5" t="s">
        <v>709</v>
      </c>
    </row>
    <row r="55" spans="2:8" x14ac:dyDescent="0.2">
      <c r="D55" s="5" t="s">
        <v>710</v>
      </c>
    </row>
    <row r="56" spans="2:8" x14ac:dyDescent="0.2">
      <c r="D56" s="5" t="s">
        <v>711</v>
      </c>
    </row>
    <row r="57" spans="2:8" x14ac:dyDescent="0.2">
      <c r="D57" s="5" t="s">
        <v>712</v>
      </c>
    </row>
    <row r="58" spans="2:8" x14ac:dyDescent="0.2">
      <c r="D58" s="5" t="s">
        <v>713</v>
      </c>
    </row>
  </sheetData>
  <autoFilter ref="A18:H18"/>
  <conditionalFormatting sqref="C17">
    <cfRule type="cellIs" dxfId="63" priority="1" stopIfTrue="1" operator="equal">
      <formula>$B$10</formula>
    </cfRule>
    <cfRule type="cellIs" dxfId="62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indexed="11"/>
  </sheetPr>
  <dimension ref="A1:H30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9</v>
      </c>
      <c r="C2" s="15">
        <f>IF(ISERROR(VALUE(TRIM(CLEAN(MID(C20,FIND("(",C20)+1,FIND("/",C20,1)-FIND("(",C20)-1))))),0,VALUE(TRIM(CLEAN(MID(C20,FIND("(",C20)+1,FIND("/",C20,1)-FIND("(",C20)-1)))))</f>
        <v>9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10</v>
      </c>
      <c r="C4" s="16">
        <f>IF(ISERROR(VALUE(TRIM(CLEAN(MID(C23,FIND("(",C23)+1,FIND("/",C23,1)-FIND("(",C23)-1))))),0,VALUE(TRIM(CLEAN(MID(C23,FIND("(",C23)+1,FIND("/",C23,1)-FIND("(",C23)-1)))))</f>
        <v>10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2</v>
      </c>
      <c r="C5" s="16">
        <f>IF(ISERROR(VALUE(TRIM(CLEAN(MID(C24,FIND("(",C24)+1,FIND("/",C24,1)-FIND("(",C24)-1))))),0,VALUE(TRIM(CLEAN(MID(C24,FIND("(",C24)+1,FIND("/",C24,1)-FIND("(",C24)-1)))))</f>
        <v>2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21</v>
      </c>
      <c r="C7" s="17">
        <f>SUM(C2:C5)</f>
        <v>21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878</v>
      </c>
    </row>
    <row r="20" spans="1:8" x14ac:dyDescent="0.2">
      <c r="C20" s="5" t="s">
        <v>879</v>
      </c>
    </row>
    <row r="21" spans="1:8" x14ac:dyDescent="0.2">
      <c r="C21" s="5" t="s">
        <v>710</v>
      </c>
    </row>
    <row r="22" spans="1:8" x14ac:dyDescent="0.2">
      <c r="C22" s="5" t="s">
        <v>880</v>
      </c>
    </row>
    <row r="23" spans="1:8" x14ac:dyDescent="0.2">
      <c r="C23" s="5" t="s">
        <v>881</v>
      </c>
    </row>
    <row r="24" spans="1:8" x14ac:dyDescent="0.2">
      <c r="C24" s="5" t="s">
        <v>744</v>
      </c>
    </row>
    <row r="25" spans="1:8" x14ac:dyDescent="0.2">
      <c r="B25" s="5" t="s">
        <v>882</v>
      </c>
    </row>
    <row r="26" spans="1:8" x14ac:dyDescent="0.2">
      <c r="D26" s="5" t="s">
        <v>879</v>
      </c>
    </row>
    <row r="27" spans="1:8" x14ac:dyDescent="0.2">
      <c r="D27" s="5" t="s">
        <v>710</v>
      </c>
    </row>
    <row r="28" spans="1:8" x14ac:dyDescent="0.2">
      <c r="D28" s="5" t="s">
        <v>880</v>
      </c>
    </row>
    <row r="29" spans="1:8" x14ac:dyDescent="0.2">
      <c r="D29" s="5" t="s">
        <v>881</v>
      </c>
    </row>
    <row r="30" spans="1:8" x14ac:dyDescent="0.2">
      <c r="D30" s="5" t="s">
        <v>744</v>
      </c>
    </row>
  </sheetData>
  <autoFilter ref="A18:H18"/>
  <conditionalFormatting sqref="C17">
    <cfRule type="cellIs" dxfId="61" priority="1" stopIfTrue="1" operator="equal">
      <formula>$B$10</formula>
    </cfRule>
    <cfRule type="cellIs" dxfId="60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</v>
      </c>
      <c r="C2" s="15">
        <f>IF(ISERROR(VALUE(TRIM(CLEAN(MID(C20,FIND("(",C20)+1,FIND("/",C20,1)-FIND("(",C20)-1))))),0,VALUE(TRIM(CLEAN(MID(C20,FIND("(",C20)+1,FIND("/",C20,1)-FIND("(",C20)-1)))))</f>
        <v>2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0</v>
      </c>
      <c r="C4" s="16">
        <f>IF(ISERROR(VALUE(TRIM(CLEAN(MID(C23,FIND("(",C23)+1,FIND("/",C23,1)-FIND("(",C23)-1))))),0,VALUE(TRIM(CLEAN(MID(C23,FIND("(",C23)+1,FIND("/",C23,1)-FIND("(",C23)-1)))))</f>
        <v>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</v>
      </c>
      <c r="C7" s="17">
        <f>SUM(C2:C5)</f>
        <v>2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884</v>
      </c>
    </row>
    <row r="20" spans="1:8" x14ac:dyDescent="0.2">
      <c r="C20" s="5" t="s">
        <v>730</v>
      </c>
    </row>
    <row r="21" spans="1:8" x14ac:dyDescent="0.2">
      <c r="C21" s="5" t="s">
        <v>710</v>
      </c>
    </row>
    <row r="22" spans="1:8" x14ac:dyDescent="0.2">
      <c r="C22" s="5" t="s">
        <v>792</v>
      </c>
    </row>
    <row r="23" spans="1:8" x14ac:dyDescent="0.2">
      <c r="C23" s="5" t="s">
        <v>712</v>
      </c>
    </row>
    <row r="24" spans="1:8" x14ac:dyDescent="0.2">
      <c r="C24" s="5" t="s">
        <v>713</v>
      </c>
    </row>
    <row r="25" spans="1:8" x14ac:dyDescent="0.2">
      <c r="B25" s="5" t="s">
        <v>885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886</v>
      </c>
    </row>
    <row r="32" spans="1:8" x14ac:dyDescent="0.2">
      <c r="D32" s="5" t="s">
        <v>709</v>
      </c>
    </row>
    <row r="33" spans="4:4" x14ac:dyDescent="0.2">
      <c r="D33" s="5" t="s">
        <v>710</v>
      </c>
    </row>
    <row r="34" spans="4:4" x14ac:dyDescent="0.2">
      <c r="D34" s="5" t="s">
        <v>711</v>
      </c>
    </row>
    <row r="35" spans="4:4" x14ac:dyDescent="0.2">
      <c r="D35" s="5" t="s">
        <v>712</v>
      </c>
    </row>
    <row r="36" spans="4:4" x14ac:dyDescent="0.2">
      <c r="D36" s="5" t="s">
        <v>713</v>
      </c>
    </row>
  </sheetData>
  <autoFilter ref="A18:H18"/>
  <conditionalFormatting sqref="C17">
    <cfRule type="cellIs" dxfId="59" priority="1" stopIfTrue="1" operator="equal">
      <formula>$B$10</formula>
    </cfRule>
    <cfRule type="cellIs" dxfId="58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indexed="11"/>
  </sheetPr>
  <dimension ref="A1:H84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26</v>
      </c>
      <c r="C2" s="15">
        <f>IF(ISERROR(VALUE(TRIM(CLEAN(MID(C20,FIND("(",C20)+1,FIND("/",C20,1)-FIND("(",C20)-1))))),0,VALUE(TRIM(CLEAN(MID(C20,FIND("(",C20)+1,FIND("/",C20,1)-FIND("(",C20)-1)))))</f>
        <v>26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1</v>
      </c>
      <c r="C3" s="16">
        <f>IF(ISERROR(VALUE(TRIM(CLEAN(MID(C21,FIND("(",C21)+1,FIND("/",C21,1)-FIND("(",C21)-1))))),0,VALUE(TRIM(CLEAN(MID(C21,FIND("(",C21)+1,FIND("/",C21,1)-FIND("(",C21)-1)))))</f>
        <v>1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24</v>
      </c>
      <c r="C4" s="16">
        <f>IF(ISERROR(VALUE(TRIM(CLEAN(MID(C23,FIND("(",C23)+1,FIND("/",C23,1)-FIND("(",C23)-1))))),0,VALUE(TRIM(CLEAN(MID(C23,FIND("(",C23)+1,FIND("/",C23,1)-FIND("(",C23)-1)))))</f>
        <v>24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6</v>
      </c>
      <c r="C5" s="16">
        <f>IF(ISERROR(VALUE(TRIM(CLEAN(MID(C24,FIND("(",C24)+1,FIND("/",C24,1)-FIND("(",C24)-1))))),0,VALUE(TRIM(CLEAN(MID(C24,FIND("(",C24)+1,FIND("/",C24,1)-FIND("(",C24)-1)))))</f>
        <v>6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57</v>
      </c>
      <c r="C7" s="17">
        <f>SUM(C2:C5)</f>
        <v>57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888</v>
      </c>
    </row>
    <row r="20" spans="1:8" x14ac:dyDescent="0.2">
      <c r="C20" s="5" t="s">
        <v>889</v>
      </c>
    </row>
    <row r="21" spans="1:8" x14ac:dyDescent="0.2">
      <c r="C21" s="5" t="s">
        <v>731</v>
      </c>
    </row>
    <row r="22" spans="1:8" x14ac:dyDescent="0.2">
      <c r="C22" s="5" t="s">
        <v>890</v>
      </c>
    </row>
    <row r="23" spans="1:8" x14ac:dyDescent="0.2">
      <c r="C23" s="5" t="s">
        <v>706</v>
      </c>
    </row>
    <row r="24" spans="1:8" x14ac:dyDescent="0.2">
      <c r="C24" s="5" t="s">
        <v>891</v>
      </c>
    </row>
    <row r="25" spans="1:8" x14ac:dyDescent="0.2">
      <c r="B25" s="5" t="s">
        <v>892</v>
      </c>
    </row>
    <row r="26" spans="1:8" x14ac:dyDescent="0.2">
      <c r="D26" s="5" t="s">
        <v>797</v>
      </c>
    </row>
    <row r="27" spans="1:8" x14ac:dyDescent="0.2">
      <c r="D27" s="5" t="s">
        <v>710</v>
      </c>
    </row>
    <row r="28" spans="1:8" x14ac:dyDescent="0.2">
      <c r="D28" s="5" t="s">
        <v>784</v>
      </c>
    </row>
    <row r="29" spans="1:8" x14ac:dyDescent="0.2">
      <c r="D29" s="5" t="s">
        <v>893</v>
      </c>
    </row>
    <row r="30" spans="1:8" x14ac:dyDescent="0.2">
      <c r="D30" s="5" t="s">
        <v>744</v>
      </c>
    </row>
    <row r="31" spans="1:8" x14ac:dyDescent="0.2">
      <c r="B31" s="5" t="s">
        <v>894</v>
      </c>
    </row>
    <row r="32" spans="1:8" x14ac:dyDescent="0.2">
      <c r="D32" s="5" t="s">
        <v>788</v>
      </c>
    </row>
    <row r="33" spans="2:4" x14ac:dyDescent="0.2">
      <c r="D33" s="5" t="s">
        <v>710</v>
      </c>
    </row>
    <row r="34" spans="2:4" x14ac:dyDescent="0.2">
      <c r="D34" s="5" t="s">
        <v>732</v>
      </c>
    </row>
    <row r="35" spans="2:4" x14ac:dyDescent="0.2">
      <c r="D35" s="5" t="s">
        <v>733</v>
      </c>
    </row>
    <row r="36" spans="2:4" x14ac:dyDescent="0.2">
      <c r="D36" s="5" t="s">
        <v>713</v>
      </c>
    </row>
    <row r="37" spans="2:4" x14ac:dyDescent="0.2">
      <c r="B37" s="5" t="s">
        <v>895</v>
      </c>
    </row>
    <row r="38" spans="2:4" x14ac:dyDescent="0.2">
      <c r="D38" s="5" t="s">
        <v>709</v>
      </c>
    </row>
    <row r="39" spans="2:4" x14ac:dyDescent="0.2">
      <c r="D39" s="5" t="s">
        <v>710</v>
      </c>
    </row>
    <row r="40" spans="2:4" x14ac:dyDescent="0.2">
      <c r="D40" s="5" t="s">
        <v>711</v>
      </c>
    </row>
    <row r="41" spans="2:4" x14ac:dyDescent="0.2">
      <c r="D41" s="5" t="s">
        <v>712</v>
      </c>
    </row>
    <row r="42" spans="2:4" x14ac:dyDescent="0.2">
      <c r="D42" s="5" t="s">
        <v>713</v>
      </c>
    </row>
    <row r="43" spans="2:4" x14ac:dyDescent="0.2">
      <c r="B43" s="5" t="s">
        <v>896</v>
      </c>
    </row>
    <row r="44" spans="2:4" x14ac:dyDescent="0.2">
      <c r="D44" s="5" t="s">
        <v>797</v>
      </c>
    </row>
    <row r="45" spans="2:4" x14ac:dyDescent="0.2">
      <c r="D45" s="5" t="s">
        <v>710</v>
      </c>
    </row>
    <row r="46" spans="2:4" x14ac:dyDescent="0.2">
      <c r="D46" s="5" t="s">
        <v>784</v>
      </c>
    </row>
    <row r="47" spans="2:4" x14ac:dyDescent="0.2">
      <c r="D47" s="5" t="s">
        <v>893</v>
      </c>
    </row>
    <row r="48" spans="2:4" x14ac:dyDescent="0.2">
      <c r="D48" s="5" t="s">
        <v>744</v>
      </c>
    </row>
    <row r="49" spans="2:4" x14ac:dyDescent="0.2">
      <c r="B49" s="5" t="s">
        <v>897</v>
      </c>
    </row>
    <row r="50" spans="2:4" x14ac:dyDescent="0.2">
      <c r="D50" s="5" t="s">
        <v>709</v>
      </c>
    </row>
    <row r="51" spans="2:4" x14ac:dyDescent="0.2">
      <c r="D51" s="5" t="s">
        <v>710</v>
      </c>
    </row>
    <row r="52" spans="2:4" x14ac:dyDescent="0.2">
      <c r="D52" s="5" t="s">
        <v>711</v>
      </c>
    </row>
    <row r="53" spans="2:4" x14ac:dyDescent="0.2">
      <c r="D53" s="5" t="s">
        <v>712</v>
      </c>
    </row>
    <row r="54" spans="2:4" x14ac:dyDescent="0.2">
      <c r="D54" s="5" t="s">
        <v>713</v>
      </c>
    </row>
    <row r="55" spans="2:4" x14ac:dyDescent="0.2">
      <c r="B55" s="5" t="s">
        <v>898</v>
      </c>
    </row>
    <row r="56" spans="2:4" x14ac:dyDescent="0.2">
      <c r="D56" s="5" t="s">
        <v>709</v>
      </c>
    </row>
    <row r="57" spans="2:4" x14ac:dyDescent="0.2">
      <c r="D57" s="5" t="s">
        <v>710</v>
      </c>
    </row>
    <row r="58" spans="2:4" x14ac:dyDescent="0.2">
      <c r="D58" s="5" t="s">
        <v>711</v>
      </c>
    </row>
    <row r="59" spans="2:4" x14ac:dyDescent="0.2">
      <c r="D59" s="5" t="s">
        <v>712</v>
      </c>
    </row>
    <row r="60" spans="2:4" x14ac:dyDescent="0.2">
      <c r="D60" s="5" t="s">
        <v>713</v>
      </c>
    </row>
    <row r="61" spans="2:4" x14ac:dyDescent="0.2">
      <c r="B61" s="5" t="s">
        <v>899</v>
      </c>
    </row>
    <row r="62" spans="2:4" x14ac:dyDescent="0.2">
      <c r="D62" s="5" t="s">
        <v>709</v>
      </c>
    </row>
    <row r="63" spans="2:4" x14ac:dyDescent="0.2">
      <c r="D63" s="5" t="s">
        <v>710</v>
      </c>
    </row>
    <row r="64" spans="2:4" x14ac:dyDescent="0.2">
      <c r="D64" s="5" t="s">
        <v>711</v>
      </c>
    </row>
    <row r="65" spans="2:4" x14ac:dyDescent="0.2">
      <c r="D65" s="5" t="s">
        <v>712</v>
      </c>
    </row>
    <row r="66" spans="2:4" x14ac:dyDescent="0.2">
      <c r="D66" s="5" t="s">
        <v>713</v>
      </c>
    </row>
    <row r="67" spans="2:4" x14ac:dyDescent="0.2">
      <c r="B67" s="5" t="s">
        <v>900</v>
      </c>
    </row>
    <row r="68" spans="2:4" x14ac:dyDescent="0.2">
      <c r="D68" s="5" t="s">
        <v>715</v>
      </c>
    </row>
    <row r="69" spans="2:4" x14ac:dyDescent="0.2">
      <c r="D69" s="5" t="s">
        <v>731</v>
      </c>
    </row>
    <row r="70" spans="2:4" x14ac:dyDescent="0.2">
      <c r="D70" s="5" t="s">
        <v>804</v>
      </c>
    </row>
    <row r="71" spans="2:4" x14ac:dyDescent="0.2">
      <c r="D71" s="5" t="s">
        <v>881</v>
      </c>
    </row>
    <row r="72" spans="2:4" x14ac:dyDescent="0.2">
      <c r="D72" s="5" t="s">
        <v>744</v>
      </c>
    </row>
    <row r="73" spans="2:4" x14ac:dyDescent="0.2">
      <c r="B73" s="5" t="s">
        <v>901</v>
      </c>
    </row>
    <row r="74" spans="2:4" x14ac:dyDescent="0.2">
      <c r="D74" s="5" t="s">
        <v>709</v>
      </c>
    </row>
    <row r="75" spans="2:4" x14ac:dyDescent="0.2">
      <c r="D75" s="5" t="s">
        <v>710</v>
      </c>
    </row>
    <row r="76" spans="2:4" x14ac:dyDescent="0.2">
      <c r="D76" s="5" t="s">
        <v>711</v>
      </c>
    </row>
    <row r="77" spans="2:4" x14ac:dyDescent="0.2">
      <c r="D77" s="5" t="s">
        <v>712</v>
      </c>
    </row>
    <row r="78" spans="2:4" x14ac:dyDescent="0.2">
      <c r="D78" s="5" t="s">
        <v>713</v>
      </c>
    </row>
    <row r="79" spans="2:4" x14ac:dyDescent="0.2">
      <c r="B79" s="5" t="s">
        <v>902</v>
      </c>
    </row>
    <row r="80" spans="2:4" x14ac:dyDescent="0.2">
      <c r="D80" s="5" t="s">
        <v>709</v>
      </c>
    </row>
    <row r="81" spans="4:4" x14ac:dyDescent="0.2">
      <c r="D81" s="5" t="s">
        <v>710</v>
      </c>
    </row>
    <row r="82" spans="4:4" x14ac:dyDescent="0.2">
      <c r="D82" s="5" t="s">
        <v>711</v>
      </c>
    </row>
    <row r="83" spans="4:4" x14ac:dyDescent="0.2">
      <c r="D83" s="5" t="s">
        <v>712</v>
      </c>
    </row>
    <row r="84" spans="4:4" x14ac:dyDescent="0.2">
      <c r="D84" s="5" t="s">
        <v>713</v>
      </c>
    </row>
  </sheetData>
  <autoFilter ref="A18:H18"/>
  <conditionalFormatting sqref="C17">
    <cfRule type="cellIs" dxfId="57" priority="1" stopIfTrue="1" operator="equal">
      <formula>$B$10</formula>
    </cfRule>
    <cfRule type="cellIs" dxfId="56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indexed="11"/>
  </sheetPr>
  <dimension ref="A1:H100"/>
  <sheetViews>
    <sheetView workbookViewId="0">
      <selection activeCell="E4" sqref="E4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140.42578125" style="5" bestFit="1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90</v>
      </c>
      <c r="C2" s="15">
        <f>IF(ISERROR(VALUE(TRIM(CLEAN(MID(C20,FIND("(",C20)+1,FIND("/",C20,1)-FIND("(",C20)-1))))),0,VALUE(TRIM(CLEAN(MID(C20,FIND("(",C20)+1,FIND("/",C20,1)-FIND("(",C20)-1)))))</f>
        <v>90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3</v>
      </c>
      <c r="C3" s="16">
        <f>IF(ISERROR(VALUE(TRIM(CLEAN(MID(C21,FIND("(",C21)+1,FIND("/",C21,1)-FIND("(",C21)-1))))),0,VALUE(TRIM(CLEAN(MID(C21,FIND("(",C21)+1,FIND("/",C21,1)-FIND("(",C21)-1)))))</f>
        <v>3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232</v>
      </c>
      <c r="C4" s="16">
        <f>IF(ISERROR(VALUE(TRIM(CLEAN(MID(C23,FIND("(",C23)+1,FIND("/",C23,1)-FIND("(",C23)-1))))),0,VALUE(TRIM(CLEAN(MID(C23,FIND("(",C23)+1,FIND("/",C23,1)-FIND("(",C23)-1)))))</f>
        <v>228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109</v>
      </c>
      <c r="C5" s="16">
        <f>IF(ISERROR(VALUE(TRIM(CLEAN(MID(C24,FIND("(",C24)+1,FIND("/",C24,1)-FIND("(",C24)-1))))),0,VALUE(TRIM(CLEAN(MID(C24,FIND("(",C24)+1,FIND("/",C24,1)-FIND("(",C24)-1)))))</f>
        <v>103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434</v>
      </c>
      <c r="C7" s="17">
        <f>SUM(C2:C5)</f>
        <v>424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10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10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10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904</v>
      </c>
    </row>
    <row r="20" spans="1:8" x14ac:dyDescent="0.2">
      <c r="C20" s="5" t="s">
        <v>905</v>
      </c>
    </row>
    <row r="21" spans="1:8" x14ac:dyDescent="0.2">
      <c r="C21" s="5" t="s">
        <v>704</v>
      </c>
    </row>
    <row r="22" spans="1:8" x14ac:dyDescent="0.2">
      <c r="C22" s="5" t="s">
        <v>906</v>
      </c>
    </row>
    <row r="23" spans="1:8" x14ac:dyDescent="0.2">
      <c r="C23" s="5" t="s">
        <v>907</v>
      </c>
    </row>
    <row r="24" spans="1:8" x14ac:dyDescent="0.2">
      <c r="C24" s="5" t="s">
        <v>908</v>
      </c>
    </row>
    <row r="25" spans="1:8" x14ac:dyDescent="0.2">
      <c r="B25" s="5" t="s">
        <v>909</v>
      </c>
    </row>
    <row r="26" spans="1:8" x14ac:dyDescent="0.2">
      <c r="D26" s="5" t="s">
        <v>788</v>
      </c>
    </row>
    <row r="27" spans="1:8" x14ac:dyDescent="0.2">
      <c r="D27" s="5" t="s">
        <v>710</v>
      </c>
    </row>
    <row r="28" spans="1:8" x14ac:dyDescent="0.2">
      <c r="D28" s="5" t="s">
        <v>732</v>
      </c>
    </row>
    <row r="29" spans="1:8" x14ac:dyDescent="0.2">
      <c r="D29" s="5" t="s">
        <v>893</v>
      </c>
    </row>
    <row r="30" spans="1:8" x14ac:dyDescent="0.2">
      <c r="D30" s="5" t="s">
        <v>910</v>
      </c>
    </row>
    <row r="31" spans="1:8" x14ac:dyDescent="0.2">
      <c r="B31" s="5" t="s">
        <v>911</v>
      </c>
    </row>
    <row r="32" spans="1:8" x14ac:dyDescent="0.2">
      <c r="D32" s="5" t="s">
        <v>912</v>
      </c>
    </row>
    <row r="33" spans="2:4" x14ac:dyDescent="0.2">
      <c r="D33" s="5" t="s">
        <v>710</v>
      </c>
    </row>
    <row r="34" spans="2:4" x14ac:dyDescent="0.2">
      <c r="D34" s="5" t="s">
        <v>913</v>
      </c>
    </row>
    <row r="35" spans="2:4" x14ac:dyDescent="0.2">
      <c r="D35" s="5" t="s">
        <v>914</v>
      </c>
    </row>
    <row r="36" spans="2:4" x14ac:dyDescent="0.2">
      <c r="D36" s="5" t="s">
        <v>915</v>
      </c>
    </row>
    <row r="37" spans="2:4" x14ac:dyDescent="0.2">
      <c r="B37" s="5" t="s">
        <v>916</v>
      </c>
    </row>
    <row r="38" spans="2:4" x14ac:dyDescent="0.2">
      <c r="D38" s="5" t="s">
        <v>715</v>
      </c>
    </row>
    <row r="39" spans="2:4" x14ac:dyDescent="0.2">
      <c r="D39" s="5" t="s">
        <v>710</v>
      </c>
    </row>
    <row r="40" spans="2:4" x14ac:dyDescent="0.2">
      <c r="D40" s="5" t="s">
        <v>746</v>
      </c>
    </row>
    <row r="41" spans="2:4" x14ac:dyDescent="0.2">
      <c r="D41" s="5" t="s">
        <v>917</v>
      </c>
    </row>
    <row r="42" spans="2:4" x14ac:dyDescent="0.2">
      <c r="D42" s="5" t="s">
        <v>918</v>
      </c>
    </row>
    <row r="43" spans="2:4" x14ac:dyDescent="0.2">
      <c r="B43" s="5" t="s">
        <v>919</v>
      </c>
    </row>
    <row r="44" spans="2:4" x14ac:dyDescent="0.2">
      <c r="D44" s="5" t="s">
        <v>920</v>
      </c>
    </row>
    <row r="45" spans="2:4" x14ac:dyDescent="0.2">
      <c r="D45" s="5" t="s">
        <v>731</v>
      </c>
    </row>
    <row r="46" spans="2:4" x14ac:dyDescent="0.2">
      <c r="D46" s="5" t="s">
        <v>913</v>
      </c>
    </row>
    <row r="47" spans="2:4" x14ac:dyDescent="0.2">
      <c r="D47" s="5" t="s">
        <v>914</v>
      </c>
    </row>
    <row r="48" spans="2:4" x14ac:dyDescent="0.2">
      <c r="D48" s="5" t="s">
        <v>921</v>
      </c>
    </row>
    <row r="49" spans="2:4" x14ac:dyDescent="0.2">
      <c r="B49" s="5" t="s">
        <v>922</v>
      </c>
    </row>
    <row r="50" spans="2:4" x14ac:dyDescent="0.2">
      <c r="D50" s="5" t="s">
        <v>923</v>
      </c>
    </row>
    <row r="51" spans="2:4" x14ac:dyDescent="0.2">
      <c r="D51" s="5" t="s">
        <v>731</v>
      </c>
    </row>
    <row r="52" spans="2:4" x14ac:dyDescent="0.2">
      <c r="D52" s="5" t="s">
        <v>705</v>
      </c>
    </row>
    <row r="53" spans="2:4" x14ac:dyDescent="0.2">
      <c r="D53" s="5" t="s">
        <v>706</v>
      </c>
    </row>
    <row r="54" spans="2:4" x14ac:dyDescent="0.2">
      <c r="D54" s="5" t="s">
        <v>921</v>
      </c>
    </row>
    <row r="55" spans="2:4" x14ac:dyDescent="0.2">
      <c r="B55" s="5" t="s">
        <v>924</v>
      </c>
    </row>
    <row r="56" spans="2:4" x14ac:dyDescent="0.2">
      <c r="D56" s="5" t="s">
        <v>788</v>
      </c>
    </row>
    <row r="57" spans="2:4" x14ac:dyDescent="0.2">
      <c r="D57" s="5" t="s">
        <v>710</v>
      </c>
    </row>
    <row r="58" spans="2:4" x14ac:dyDescent="0.2">
      <c r="D58" s="5" t="s">
        <v>732</v>
      </c>
    </row>
    <row r="59" spans="2:4" x14ac:dyDescent="0.2">
      <c r="D59" s="5" t="s">
        <v>893</v>
      </c>
    </row>
    <row r="60" spans="2:4" x14ac:dyDescent="0.2">
      <c r="D60" s="5" t="s">
        <v>910</v>
      </c>
    </row>
    <row r="61" spans="2:4" x14ac:dyDescent="0.2">
      <c r="B61" s="5" t="s">
        <v>925</v>
      </c>
    </row>
    <row r="62" spans="2:4" x14ac:dyDescent="0.2">
      <c r="D62" s="5" t="s">
        <v>923</v>
      </c>
    </row>
    <row r="63" spans="2:4" x14ac:dyDescent="0.2">
      <c r="D63" s="5" t="s">
        <v>731</v>
      </c>
    </row>
    <row r="64" spans="2:4" x14ac:dyDescent="0.2">
      <c r="D64" s="5" t="s">
        <v>705</v>
      </c>
    </row>
    <row r="65" spans="2:8" x14ac:dyDescent="0.2">
      <c r="D65" s="5" t="s">
        <v>706</v>
      </c>
    </row>
    <row r="66" spans="2:8" x14ac:dyDescent="0.2">
      <c r="D66" s="5" t="s">
        <v>921</v>
      </c>
    </row>
    <row r="67" spans="2:8" x14ac:dyDescent="0.2">
      <c r="B67" s="5" t="s">
        <v>926</v>
      </c>
    </row>
    <row r="68" spans="2:8" x14ac:dyDescent="0.2">
      <c r="D68" s="5" t="s">
        <v>709</v>
      </c>
    </row>
    <row r="69" spans="2:8" x14ac:dyDescent="0.2">
      <c r="D69" s="5" t="s">
        <v>710</v>
      </c>
    </row>
    <row r="70" spans="2:8" x14ac:dyDescent="0.2">
      <c r="D70" s="5" t="s">
        <v>711</v>
      </c>
    </row>
    <row r="71" spans="2:8" x14ac:dyDescent="0.2">
      <c r="D71" s="5" t="s">
        <v>712</v>
      </c>
    </row>
    <row r="72" spans="2:8" x14ac:dyDescent="0.2">
      <c r="D72" s="5" t="s">
        <v>713</v>
      </c>
    </row>
    <row r="73" spans="2:8" x14ac:dyDescent="0.2">
      <c r="B73" s="5" t="s">
        <v>927</v>
      </c>
    </row>
    <row r="74" spans="2:8" x14ac:dyDescent="0.2">
      <c r="D74" s="5" t="s">
        <v>928</v>
      </c>
    </row>
    <row r="75" spans="2:8" x14ac:dyDescent="0.2">
      <c r="D75" s="5" t="s">
        <v>710</v>
      </c>
    </row>
    <row r="76" spans="2:8" x14ac:dyDescent="0.2">
      <c r="D76" s="5" t="s">
        <v>737</v>
      </c>
    </row>
    <row r="77" spans="2:8" x14ac:dyDescent="0.2">
      <c r="D77" s="5" t="s">
        <v>929</v>
      </c>
    </row>
    <row r="78" spans="2:8" x14ac:dyDescent="0.2">
      <c r="E78" s="5" t="s">
        <v>930</v>
      </c>
      <c r="F78" s="5">
        <v>555</v>
      </c>
      <c r="G78" s="5" t="s">
        <v>19</v>
      </c>
      <c r="H78" s="5" t="s">
        <v>1158</v>
      </c>
    </row>
    <row r="79" spans="2:8" x14ac:dyDescent="0.2">
      <c r="E79" s="5" t="s">
        <v>931</v>
      </c>
      <c r="F79" s="5">
        <v>555</v>
      </c>
      <c r="G79" s="5" t="s">
        <v>19</v>
      </c>
      <c r="H79" s="5" t="s">
        <v>1158</v>
      </c>
    </row>
    <row r="80" spans="2:8" x14ac:dyDescent="0.2">
      <c r="E80" s="5" t="s">
        <v>932</v>
      </c>
      <c r="F80" s="5">
        <v>567</v>
      </c>
      <c r="G80" s="5" t="s">
        <v>19</v>
      </c>
      <c r="H80" s="5" t="s">
        <v>1158</v>
      </c>
    </row>
    <row r="81" spans="2:8" x14ac:dyDescent="0.2">
      <c r="E81" s="5" t="s">
        <v>933</v>
      </c>
      <c r="F81" s="5">
        <v>567</v>
      </c>
      <c r="G81" s="5" t="s">
        <v>19</v>
      </c>
      <c r="H81" s="5" t="s">
        <v>1158</v>
      </c>
    </row>
    <row r="82" spans="2:8" x14ac:dyDescent="0.2">
      <c r="D82" s="5" t="s">
        <v>934</v>
      </c>
    </row>
    <row r="83" spans="2:8" x14ac:dyDescent="0.2">
      <c r="E83" s="5" t="s">
        <v>935</v>
      </c>
      <c r="F83" s="5">
        <v>554</v>
      </c>
      <c r="G83" s="5" t="s">
        <v>19</v>
      </c>
      <c r="H83" s="5" t="s">
        <v>1158</v>
      </c>
    </row>
    <row r="84" spans="2:8" x14ac:dyDescent="0.2">
      <c r="E84" s="5" t="s">
        <v>936</v>
      </c>
      <c r="F84" s="5">
        <v>555</v>
      </c>
      <c r="G84" s="5" t="s">
        <v>19</v>
      </c>
      <c r="H84" s="5" t="s">
        <v>1158</v>
      </c>
    </row>
    <row r="85" spans="2:8" x14ac:dyDescent="0.2">
      <c r="E85" s="5" t="s">
        <v>937</v>
      </c>
      <c r="F85" s="5">
        <v>555</v>
      </c>
      <c r="G85" s="5" t="s">
        <v>19</v>
      </c>
      <c r="H85" s="5" t="s">
        <v>1158</v>
      </c>
    </row>
    <row r="86" spans="2:8" x14ac:dyDescent="0.2">
      <c r="E86" s="5" t="s">
        <v>938</v>
      </c>
      <c r="F86" s="5">
        <v>566</v>
      </c>
      <c r="G86" s="5" t="s">
        <v>19</v>
      </c>
      <c r="H86" s="5" t="s">
        <v>1158</v>
      </c>
    </row>
    <row r="87" spans="2:8" x14ac:dyDescent="0.2">
      <c r="E87" s="5" t="s">
        <v>939</v>
      </c>
      <c r="F87" s="5">
        <v>567</v>
      </c>
      <c r="G87" s="5" t="s">
        <v>19</v>
      </c>
      <c r="H87" s="5" t="s">
        <v>1158</v>
      </c>
    </row>
    <row r="88" spans="2:8" x14ac:dyDescent="0.2">
      <c r="E88" s="5" t="s">
        <v>940</v>
      </c>
      <c r="F88" s="5">
        <v>567</v>
      </c>
      <c r="G88" s="5" t="s">
        <v>19</v>
      </c>
      <c r="H88" s="5" t="s">
        <v>1158</v>
      </c>
    </row>
    <row r="89" spans="2:8" x14ac:dyDescent="0.2">
      <c r="B89" s="5" t="s">
        <v>941</v>
      </c>
    </row>
    <row r="90" spans="2:8" x14ac:dyDescent="0.2">
      <c r="D90" s="5" t="s">
        <v>709</v>
      </c>
    </row>
    <row r="91" spans="2:8" x14ac:dyDescent="0.2">
      <c r="D91" s="5" t="s">
        <v>710</v>
      </c>
    </row>
    <row r="92" spans="2:8" x14ac:dyDescent="0.2">
      <c r="D92" s="5" t="s">
        <v>711</v>
      </c>
    </row>
    <row r="93" spans="2:8" x14ac:dyDescent="0.2">
      <c r="D93" s="5" t="s">
        <v>712</v>
      </c>
    </row>
    <row r="94" spans="2:8" x14ac:dyDescent="0.2">
      <c r="D94" s="5" t="s">
        <v>713</v>
      </c>
    </row>
    <row r="95" spans="2:8" x14ac:dyDescent="0.2">
      <c r="B95" s="5" t="s">
        <v>942</v>
      </c>
    </row>
    <row r="96" spans="2:8" x14ac:dyDescent="0.2">
      <c r="D96" s="5" t="s">
        <v>709</v>
      </c>
    </row>
    <row r="97" spans="4:4" x14ac:dyDescent="0.2">
      <c r="D97" s="5" t="s">
        <v>710</v>
      </c>
    </row>
    <row r="98" spans="4:4" x14ac:dyDescent="0.2">
      <c r="D98" s="5" t="s">
        <v>711</v>
      </c>
    </row>
    <row r="99" spans="4:4" x14ac:dyDescent="0.2">
      <c r="D99" s="5" t="s">
        <v>712</v>
      </c>
    </row>
    <row r="100" spans="4:4" x14ac:dyDescent="0.2">
      <c r="D100" s="5" t="s">
        <v>713</v>
      </c>
    </row>
  </sheetData>
  <autoFilter ref="A18:H18"/>
  <conditionalFormatting sqref="C17">
    <cfRule type="cellIs" dxfId="55" priority="1" stopIfTrue="1" operator="equal">
      <formula>$B$10</formula>
    </cfRule>
    <cfRule type="cellIs" dxfId="54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indexed="11"/>
  </sheetPr>
  <dimension ref="A1:H30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10</v>
      </c>
      <c r="C2" s="15">
        <f>IF(ISERROR(VALUE(TRIM(CLEAN(MID(C20,FIND("(",C20)+1,FIND("/",C20,1)-FIND("(",C20)-1))))),0,VALUE(TRIM(CLEAN(MID(C20,FIND("(",C20)+1,FIND("/",C20,1)-FIND("(",C20)-1)))))</f>
        <v>10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1</v>
      </c>
      <c r="C3" s="16">
        <f>IF(ISERROR(VALUE(TRIM(CLEAN(MID(C21,FIND("(",C21)+1,FIND("/",C21,1)-FIND("(",C21)-1))))),0,VALUE(TRIM(CLEAN(MID(C21,FIND("(",C21)+1,FIND("/",C21,1)-FIND("(",C21)-1)))))</f>
        <v>1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10</v>
      </c>
      <c r="C4" s="16">
        <f>IF(ISERROR(VALUE(TRIM(CLEAN(MID(C23,FIND("(",C23)+1,FIND("/",C23,1)-FIND("(",C23)-1))))),0,VALUE(TRIM(CLEAN(MID(C23,FIND("(",C23)+1,FIND("/",C23,1)-FIND("(",C23)-1)))))</f>
        <v>10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21</v>
      </c>
      <c r="C7" s="17">
        <f>SUM(C2:C5)</f>
        <v>21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944</v>
      </c>
    </row>
    <row r="20" spans="1:8" x14ac:dyDescent="0.2">
      <c r="C20" s="5" t="s">
        <v>923</v>
      </c>
    </row>
    <row r="21" spans="1:8" x14ac:dyDescent="0.2">
      <c r="C21" s="5" t="s">
        <v>731</v>
      </c>
    </row>
    <row r="22" spans="1:8" x14ac:dyDescent="0.2">
      <c r="C22" s="5" t="s">
        <v>705</v>
      </c>
    </row>
    <row r="23" spans="1:8" x14ac:dyDescent="0.2">
      <c r="C23" s="5" t="s">
        <v>881</v>
      </c>
    </row>
    <row r="24" spans="1:8" x14ac:dyDescent="0.2">
      <c r="C24" s="5" t="s">
        <v>713</v>
      </c>
    </row>
    <row r="25" spans="1:8" x14ac:dyDescent="0.2">
      <c r="B25" s="5" t="s">
        <v>945</v>
      </c>
    </row>
    <row r="26" spans="1:8" x14ac:dyDescent="0.2">
      <c r="D26" s="5" t="s">
        <v>923</v>
      </c>
    </row>
    <row r="27" spans="1:8" x14ac:dyDescent="0.2">
      <c r="D27" s="5" t="s">
        <v>731</v>
      </c>
    </row>
    <row r="28" spans="1:8" x14ac:dyDescent="0.2">
      <c r="D28" s="5" t="s">
        <v>705</v>
      </c>
    </row>
    <row r="29" spans="1:8" x14ac:dyDescent="0.2">
      <c r="D29" s="5" t="s">
        <v>881</v>
      </c>
    </row>
    <row r="30" spans="1:8" x14ac:dyDescent="0.2">
      <c r="D30" s="5" t="s">
        <v>713</v>
      </c>
    </row>
  </sheetData>
  <autoFilter ref="A18:H18"/>
  <conditionalFormatting sqref="C17">
    <cfRule type="cellIs" dxfId="53" priority="1" stopIfTrue="1" operator="equal">
      <formula>$B$10</formula>
    </cfRule>
    <cfRule type="cellIs" dxfId="52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</v>
      </c>
      <c r="C2" s="15">
        <f>IF(ISERROR(VALUE(TRIM(CLEAN(MID(C20,FIND("(",C20)+1,FIND("/",C20,1)-FIND("(",C20)-1))))),0,VALUE(TRIM(CLEAN(MID(C20,FIND("(",C20)+1,FIND("/",C20,1)-FIND("(",C20)-1)))))</f>
        <v>2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0</v>
      </c>
      <c r="C4" s="16">
        <f>IF(ISERROR(VALUE(TRIM(CLEAN(MID(C23,FIND("(",C23)+1,FIND("/",C23,1)-FIND("(",C23)-1))))),0,VALUE(TRIM(CLEAN(MID(C23,FIND("(",C23)+1,FIND("/",C23,1)-FIND("(",C23)-1)))))</f>
        <v>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</v>
      </c>
      <c r="C7" s="17">
        <f>SUM(C2:C5)</f>
        <v>2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947</v>
      </c>
    </row>
    <row r="20" spans="1:8" x14ac:dyDescent="0.2">
      <c r="C20" s="5" t="s">
        <v>730</v>
      </c>
    </row>
    <row r="21" spans="1:8" x14ac:dyDescent="0.2">
      <c r="C21" s="5" t="s">
        <v>710</v>
      </c>
    </row>
    <row r="22" spans="1:8" x14ac:dyDescent="0.2">
      <c r="C22" s="5" t="s">
        <v>792</v>
      </c>
    </row>
    <row r="23" spans="1:8" x14ac:dyDescent="0.2">
      <c r="C23" s="5" t="s">
        <v>712</v>
      </c>
    </row>
    <row r="24" spans="1:8" x14ac:dyDescent="0.2">
      <c r="C24" s="5" t="s">
        <v>713</v>
      </c>
    </row>
    <row r="25" spans="1:8" x14ac:dyDescent="0.2">
      <c r="B25" s="5" t="s">
        <v>948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949</v>
      </c>
    </row>
    <row r="32" spans="1:8" x14ac:dyDescent="0.2">
      <c r="D32" s="5" t="s">
        <v>709</v>
      </c>
    </row>
    <row r="33" spans="4:4" x14ac:dyDescent="0.2">
      <c r="D33" s="5" t="s">
        <v>710</v>
      </c>
    </row>
    <row r="34" spans="4:4" x14ac:dyDescent="0.2">
      <c r="D34" s="5" t="s">
        <v>711</v>
      </c>
    </row>
    <row r="35" spans="4:4" x14ac:dyDescent="0.2">
      <c r="D35" s="5" t="s">
        <v>712</v>
      </c>
    </row>
    <row r="36" spans="4:4" x14ac:dyDescent="0.2">
      <c r="D36" s="5" t="s">
        <v>713</v>
      </c>
    </row>
  </sheetData>
  <autoFilter ref="A18:H18"/>
  <conditionalFormatting sqref="C17">
    <cfRule type="cellIs" dxfId="51" priority="1" stopIfTrue="1" operator="equal">
      <formula>$B$10</formula>
    </cfRule>
    <cfRule type="cellIs" dxfId="50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indexed="11"/>
  </sheetPr>
  <dimension ref="A1:H48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4</v>
      </c>
      <c r="C2" s="15">
        <f>IF(ISERROR(VALUE(TRIM(CLEAN(MID(C20,FIND("(",C20)+1,FIND("/",C20,1)-FIND("(",C20)-1))))),0,VALUE(TRIM(CLEAN(MID(C20,FIND("(",C20)+1,FIND("/",C20,1)-FIND("(",C20)-1)))))</f>
        <v>4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0</v>
      </c>
      <c r="C4" s="16">
        <f>IF(ISERROR(VALUE(TRIM(CLEAN(MID(C23,FIND("(",C23)+1,FIND("/",C23,1)-FIND("(",C23)-1))))),0,VALUE(TRIM(CLEAN(MID(C23,FIND("(",C23)+1,FIND("/",C23,1)-FIND("(",C23)-1)))))</f>
        <v>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4</v>
      </c>
      <c r="C7" s="17">
        <f>SUM(C2:C5)</f>
        <v>4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951</v>
      </c>
    </row>
    <row r="20" spans="1:8" x14ac:dyDescent="0.2">
      <c r="C20" s="5" t="s">
        <v>783</v>
      </c>
    </row>
    <row r="21" spans="1:8" x14ac:dyDescent="0.2">
      <c r="C21" s="5" t="s">
        <v>710</v>
      </c>
    </row>
    <row r="22" spans="1:8" x14ac:dyDescent="0.2">
      <c r="C22" s="5" t="s">
        <v>789</v>
      </c>
    </row>
    <row r="23" spans="1:8" x14ac:dyDescent="0.2">
      <c r="C23" s="5" t="s">
        <v>712</v>
      </c>
    </row>
    <row r="24" spans="1:8" x14ac:dyDescent="0.2">
      <c r="C24" s="5" t="s">
        <v>713</v>
      </c>
    </row>
    <row r="25" spans="1:8" x14ac:dyDescent="0.2">
      <c r="B25" s="5" t="s">
        <v>952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953</v>
      </c>
    </row>
    <row r="32" spans="1:8" x14ac:dyDescent="0.2">
      <c r="D32" s="5" t="s">
        <v>709</v>
      </c>
    </row>
    <row r="33" spans="2:4" x14ac:dyDescent="0.2">
      <c r="D33" s="5" t="s">
        <v>710</v>
      </c>
    </row>
    <row r="34" spans="2:4" x14ac:dyDescent="0.2">
      <c r="D34" s="5" t="s">
        <v>711</v>
      </c>
    </row>
    <row r="35" spans="2:4" x14ac:dyDescent="0.2">
      <c r="D35" s="5" t="s">
        <v>712</v>
      </c>
    </row>
    <row r="36" spans="2:4" x14ac:dyDescent="0.2">
      <c r="D36" s="5" t="s">
        <v>713</v>
      </c>
    </row>
    <row r="37" spans="2:4" x14ac:dyDescent="0.2">
      <c r="B37" s="5" t="s">
        <v>954</v>
      </c>
    </row>
    <row r="38" spans="2:4" x14ac:dyDescent="0.2">
      <c r="D38" s="5" t="s">
        <v>709</v>
      </c>
    </row>
    <row r="39" spans="2:4" x14ac:dyDescent="0.2">
      <c r="D39" s="5" t="s">
        <v>710</v>
      </c>
    </row>
    <row r="40" spans="2:4" x14ac:dyDescent="0.2">
      <c r="D40" s="5" t="s">
        <v>711</v>
      </c>
    </row>
    <row r="41" spans="2:4" x14ac:dyDescent="0.2">
      <c r="D41" s="5" t="s">
        <v>712</v>
      </c>
    </row>
    <row r="42" spans="2:4" x14ac:dyDescent="0.2">
      <c r="D42" s="5" t="s">
        <v>713</v>
      </c>
    </row>
    <row r="43" spans="2:4" x14ac:dyDescent="0.2">
      <c r="B43" s="5" t="s">
        <v>955</v>
      </c>
    </row>
    <row r="44" spans="2:4" x14ac:dyDescent="0.2">
      <c r="D44" s="5" t="s">
        <v>709</v>
      </c>
    </row>
    <row r="45" spans="2:4" x14ac:dyDescent="0.2">
      <c r="D45" s="5" t="s">
        <v>710</v>
      </c>
    </row>
    <row r="46" spans="2:4" x14ac:dyDescent="0.2">
      <c r="D46" s="5" t="s">
        <v>711</v>
      </c>
    </row>
    <row r="47" spans="2:4" x14ac:dyDescent="0.2">
      <c r="D47" s="5" t="s">
        <v>712</v>
      </c>
    </row>
    <row r="48" spans="2:4" x14ac:dyDescent="0.2">
      <c r="D48" s="5" t="s">
        <v>713</v>
      </c>
    </row>
  </sheetData>
  <autoFilter ref="A18:H18"/>
  <conditionalFormatting sqref="C17">
    <cfRule type="cellIs" dxfId="49" priority="1" stopIfTrue="1" operator="equal">
      <formula>$B$10</formula>
    </cfRule>
    <cfRule type="cellIs" dxfId="48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indexed="11"/>
  </sheetPr>
  <dimension ref="A1:H48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4</v>
      </c>
      <c r="C2" s="15">
        <f>IF(ISERROR(VALUE(TRIM(CLEAN(MID(C20,FIND("(",C20)+1,FIND("/",C20,1)-FIND("(",C20)-1))))),0,VALUE(TRIM(CLEAN(MID(C20,FIND("(",C20)+1,FIND("/",C20,1)-FIND("(",C20)-1)))))</f>
        <v>4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0</v>
      </c>
      <c r="C4" s="16">
        <f>IF(ISERROR(VALUE(TRIM(CLEAN(MID(C23,FIND("(",C23)+1,FIND("/",C23,1)-FIND("(",C23)-1))))),0,VALUE(TRIM(CLEAN(MID(C23,FIND("(",C23)+1,FIND("/",C23,1)-FIND("(",C23)-1)))))</f>
        <v>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4</v>
      </c>
      <c r="C7" s="17">
        <f>SUM(C2:C5)</f>
        <v>4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957</v>
      </c>
    </row>
    <row r="20" spans="1:8" x14ac:dyDescent="0.2">
      <c r="C20" s="5" t="s">
        <v>783</v>
      </c>
    </row>
    <row r="21" spans="1:8" x14ac:dyDescent="0.2">
      <c r="C21" s="5" t="s">
        <v>710</v>
      </c>
    </row>
    <row r="22" spans="1:8" x14ac:dyDescent="0.2">
      <c r="C22" s="5" t="s">
        <v>789</v>
      </c>
    </row>
    <row r="23" spans="1:8" x14ac:dyDescent="0.2">
      <c r="C23" s="5" t="s">
        <v>712</v>
      </c>
    </row>
    <row r="24" spans="1:8" x14ac:dyDescent="0.2">
      <c r="C24" s="5" t="s">
        <v>713</v>
      </c>
    </row>
    <row r="25" spans="1:8" x14ac:dyDescent="0.2">
      <c r="B25" s="5" t="s">
        <v>958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959</v>
      </c>
    </row>
    <row r="32" spans="1:8" x14ac:dyDescent="0.2">
      <c r="D32" s="5" t="s">
        <v>709</v>
      </c>
    </row>
    <row r="33" spans="2:4" x14ac:dyDescent="0.2">
      <c r="D33" s="5" t="s">
        <v>710</v>
      </c>
    </row>
    <row r="34" spans="2:4" x14ac:dyDescent="0.2">
      <c r="D34" s="5" t="s">
        <v>711</v>
      </c>
    </row>
    <row r="35" spans="2:4" x14ac:dyDescent="0.2">
      <c r="D35" s="5" t="s">
        <v>712</v>
      </c>
    </row>
    <row r="36" spans="2:4" x14ac:dyDescent="0.2">
      <c r="D36" s="5" t="s">
        <v>713</v>
      </c>
    </row>
    <row r="37" spans="2:4" x14ac:dyDescent="0.2">
      <c r="B37" s="5" t="s">
        <v>960</v>
      </c>
    </row>
    <row r="38" spans="2:4" x14ac:dyDescent="0.2">
      <c r="D38" s="5" t="s">
        <v>709</v>
      </c>
    </row>
    <row r="39" spans="2:4" x14ac:dyDescent="0.2">
      <c r="D39" s="5" t="s">
        <v>710</v>
      </c>
    </row>
    <row r="40" spans="2:4" x14ac:dyDescent="0.2">
      <c r="D40" s="5" t="s">
        <v>711</v>
      </c>
    </row>
    <row r="41" spans="2:4" x14ac:dyDescent="0.2">
      <c r="D41" s="5" t="s">
        <v>712</v>
      </c>
    </row>
    <row r="42" spans="2:4" x14ac:dyDescent="0.2">
      <c r="D42" s="5" t="s">
        <v>713</v>
      </c>
    </row>
    <row r="43" spans="2:4" x14ac:dyDescent="0.2">
      <c r="B43" s="5" t="s">
        <v>961</v>
      </c>
    </row>
    <row r="44" spans="2:4" x14ac:dyDescent="0.2">
      <c r="D44" s="5" t="s">
        <v>709</v>
      </c>
    </row>
    <row r="45" spans="2:4" x14ac:dyDescent="0.2">
      <c r="D45" s="5" t="s">
        <v>710</v>
      </c>
    </row>
    <row r="46" spans="2:4" x14ac:dyDescent="0.2">
      <c r="D46" s="5" t="s">
        <v>711</v>
      </c>
    </row>
    <row r="47" spans="2:4" x14ac:dyDescent="0.2">
      <c r="D47" s="5" t="s">
        <v>712</v>
      </c>
    </row>
    <row r="48" spans="2:4" x14ac:dyDescent="0.2">
      <c r="D48" s="5" t="s">
        <v>713</v>
      </c>
    </row>
  </sheetData>
  <autoFilter ref="A18:H18"/>
  <conditionalFormatting sqref="C17">
    <cfRule type="cellIs" dxfId="47" priority="1" stopIfTrue="1" operator="equal">
      <formula>$B$10</formula>
    </cfRule>
    <cfRule type="cellIs" dxfId="46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</v>
      </c>
      <c r="C2" s="15">
        <f>IF(ISERROR(VALUE(TRIM(CLEAN(MID(C20,FIND("(",C20)+1,FIND("/",C20,1)-FIND("(",C20)-1))))),0,VALUE(TRIM(CLEAN(MID(C20,FIND("(",C20)+1,FIND("/",C20,1)-FIND("(",C20)-1)))))</f>
        <v>2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24</v>
      </c>
      <c r="C4" s="16">
        <f>IF(ISERROR(VALUE(TRIM(CLEAN(MID(C23,FIND("(",C23)+1,FIND("/",C23,1)-FIND("(",C23)-1))))),0,VALUE(TRIM(CLEAN(MID(C23,FIND("(",C23)+1,FIND("/",C23,1)-FIND("(",C23)-1)))))</f>
        <v>24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12</v>
      </c>
      <c r="C5" s="16">
        <f>IF(ISERROR(VALUE(TRIM(CLEAN(MID(C24,FIND("(",C24)+1,FIND("/",C24,1)-FIND("(",C24)-1))))),0,VALUE(TRIM(CLEAN(MID(C24,FIND("(",C24)+1,FIND("/",C24,1)-FIND("(",C24)-1)))))</f>
        <v>12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38</v>
      </c>
      <c r="C7" s="17">
        <f>SUM(C2:C5)</f>
        <v>38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963</v>
      </c>
    </row>
    <row r="20" spans="1:8" x14ac:dyDescent="0.2">
      <c r="C20" s="5" t="s">
        <v>730</v>
      </c>
    </row>
    <row r="21" spans="1:8" x14ac:dyDescent="0.2">
      <c r="C21" s="5" t="s">
        <v>710</v>
      </c>
    </row>
    <row r="22" spans="1:8" x14ac:dyDescent="0.2">
      <c r="C22" s="5" t="s">
        <v>792</v>
      </c>
    </row>
    <row r="23" spans="1:8" x14ac:dyDescent="0.2">
      <c r="C23" s="5" t="s">
        <v>706</v>
      </c>
    </row>
    <row r="24" spans="1:8" x14ac:dyDescent="0.2">
      <c r="C24" s="5" t="s">
        <v>921</v>
      </c>
    </row>
    <row r="25" spans="1:8" x14ac:dyDescent="0.2">
      <c r="B25" s="5" t="s">
        <v>964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917</v>
      </c>
    </row>
    <row r="30" spans="1:8" x14ac:dyDescent="0.2">
      <c r="D30" s="5" t="s">
        <v>891</v>
      </c>
    </row>
    <row r="31" spans="1:8" x14ac:dyDescent="0.2">
      <c r="B31" s="5" t="s">
        <v>965</v>
      </c>
    </row>
    <row r="32" spans="1:8" x14ac:dyDescent="0.2">
      <c r="D32" s="5" t="s">
        <v>709</v>
      </c>
    </row>
    <row r="33" spans="4:4" x14ac:dyDescent="0.2">
      <c r="D33" s="5" t="s">
        <v>710</v>
      </c>
    </row>
    <row r="34" spans="4:4" x14ac:dyDescent="0.2">
      <c r="D34" s="5" t="s">
        <v>711</v>
      </c>
    </row>
    <row r="35" spans="4:4" x14ac:dyDescent="0.2">
      <c r="D35" s="5" t="s">
        <v>917</v>
      </c>
    </row>
    <row r="36" spans="4:4" x14ac:dyDescent="0.2">
      <c r="D36" s="5" t="s">
        <v>891</v>
      </c>
    </row>
  </sheetData>
  <autoFilter ref="A18:H18"/>
  <conditionalFormatting sqref="C17">
    <cfRule type="cellIs" dxfId="45" priority="1" stopIfTrue="1" operator="equal">
      <formula>$B$10</formula>
    </cfRule>
    <cfRule type="cellIs" dxfId="44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indexed="11"/>
  </sheetPr>
  <dimension ref="A1:H72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14</v>
      </c>
      <c r="C2" s="15">
        <f>IF(ISERROR(VALUE(TRIM(CLEAN(MID(C20,FIND("(",C20)+1,FIND("/",C20,1)-FIND("(",C20)-1))))),0,VALUE(TRIM(CLEAN(MID(C20,FIND("(",C20)+1,FIND("/",C20,1)-FIND("(",C20)-1)))))</f>
        <v>14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50</v>
      </c>
      <c r="C4" s="16">
        <f>IF(ISERROR(VALUE(TRIM(CLEAN(MID(C23,FIND("(",C23)+1,FIND("/",C23,1)-FIND("(",C23)-1))))),0,VALUE(TRIM(CLEAN(MID(C23,FIND("(",C23)+1,FIND("/",C23,1)-FIND("(",C23)-1)))))</f>
        <v>50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22</v>
      </c>
      <c r="C5" s="16">
        <f>IF(ISERROR(VALUE(TRIM(CLEAN(MID(C24,FIND("(",C24)+1,FIND("/",C24,1)-FIND("(",C24)-1))))),0,VALUE(TRIM(CLEAN(MID(C24,FIND("(",C24)+1,FIND("/",C24,1)-FIND("(",C24)-1)))))</f>
        <v>22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86</v>
      </c>
      <c r="C7" s="17">
        <f>SUM(C2:C5)</f>
        <v>86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967</v>
      </c>
    </row>
    <row r="20" spans="1:8" x14ac:dyDescent="0.2">
      <c r="C20" s="5" t="s">
        <v>920</v>
      </c>
    </row>
    <row r="21" spans="1:8" x14ac:dyDescent="0.2">
      <c r="C21" s="5" t="s">
        <v>710</v>
      </c>
    </row>
    <row r="22" spans="1:8" x14ac:dyDescent="0.2">
      <c r="C22" s="5" t="s">
        <v>968</v>
      </c>
    </row>
    <row r="23" spans="1:8" x14ac:dyDescent="0.2">
      <c r="C23" s="5" t="s">
        <v>969</v>
      </c>
    </row>
    <row r="24" spans="1:8" x14ac:dyDescent="0.2">
      <c r="C24" s="5" t="s">
        <v>857</v>
      </c>
    </row>
    <row r="25" spans="1:8" x14ac:dyDescent="0.2">
      <c r="B25" s="5" t="s">
        <v>970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971</v>
      </c>
    </row>
    <row r="32" spans="1:8" x14ac:dyDescent="0.2">
      <c r="D32" s="5" t="s">
        <v>709</v>
      </c>
    </row>
    <row r="33" spans="2:4" x14ac:dyDescent="0.2">
      <c r="D33" s="5" t="s">
        <v>710</v>
      </c>
    </row>
    <row r="34" spans="2:4" x14ac:dyDescent="0.2">
      <c r="D34" s="5" t="s">
        <v>711</v>
      </c>
    </row>
    <row r="35" spans="2:4" x14ac:dyDescent="0.2">
      <c r="D35" s="5" t="s">
        <v>712</v>
      </c>
    </row>
    <row r="36" spans="2:4" x14ac:dyDescent="0.2">
      <c r="D36" s="5" t="s">
        <v>713</v>
      </c>
    </row>
    <row r="37" spans="2:4" x14ac:dyDescent="0.2">
      <c r="B37" s="5" t="s">
        <v>972</v>
      </c>
    </row>
    <row r="38" spans="2:4" x14ac:dyDescent="0.2">
      <c r="D38" s="5" t="s">
        <v>788</v>
      </c>
    </row>
    <row r="39" spans="2:4" x14ac:dyDescent="0.2">
      <c r="D39" s="5" t="s">
        <v>710</v>
      </c>
    </row>
    <row r="40" spans="2:4" x14ac:dyDescent="0.2">
      <c r="D40" s="5" t="s">
        <v>732</v>
      </c>
    </row>
    <row r="41" spans="2:4" x14ac:dyDescent="0.2">
      <c r="D41" s="5" t="s">
        <v>917</v>
      </c>
    </row>
    <row r="42" spans="2:4" x14ac:dyDescent="0.2">
      <c r="D42" s="5" t="s">
        <v>918</v>
      </c>
    </row>
    <row r="43" spans="2:4" x14ac:dyDescent="0.2">
      <c r="B43" s="5" t="s">
        <v>973</v>
      </c>
    </row>
    <row r="44" spans="2:4" x14ac:dyDescent="0.2">
      <c r="D44" s="5" t="s">
        <v>709</v>
      </c>
    </row>
    <row r="45" spans="2:4" x14ac:dyDescent="0.2">
      <c r="D45" s="5" t="s">
        <v>710</v>
      </c>
    </row>
    <row r="46" spans="2:4" x14ac:dyDescent="0.2">
      <c r="D46" s="5" t="s">
        <v>711</v>
      </c>
    </row>
    <row r="47" spans="2:4" x14ac:dyDescent="0.2">
      <c r="D47" s="5" t="s">
        <v>712</v>
      </c>
    </row>
    <row r="48" spans="2:4" x14ac:dyDescent="0.2">
      <c r="D48" s="5" t="s">
        <v>713</v>
      </c>
    </row>
    <row r="49" spans="2:4" x14ac:dyDescent="0.2">
      <c r="B49" s="5" t="s">
        <v>974</v>
      </c>
    </row>
    <row r="50" spans="2:4" x14ac:dyDescent="0.2">
      <c r="D50" s="5" t="s">
        <v>709</v>
      </c>
    </row>
    <row r="51" spans="2:4" x14ac:dyDescent="0.2">
      <c r="D51" s="5" t="s">
        <v>710</v>
      </c>
    </row>
    <row r="52" spans="2:4" x14ac:dyDescent="0.2">
      <c r="D52" s="5" t="s">
        <v>711</v>
      </c>
    </row>
    <row r="53" spans="2:4" x14ac:dyDescent="0.2">
      <c r="D53" s="5" t="s">
        <v>712</v>
      </c>
    </row>
    <row r="54" spans="2:4" x14ac:dyDescent="0.2">
      <c r="D54" s="5" t="s">
        <v>713</v>
      </c>
    </row>
    <row r="55" spans="2:4" x14ac:dyDescent="0.2">
      <c r="B55" s="5" t="s">
        <v>975</v>
      </c>
    </row>
    <row r="56" spans="2:4" x14ac:dyDescent="0.2">
      <c r="D56" s="5" t="s">
        <v>788</v>
      </c>
    </row>
    <row r="57" spans="2:4" x14ac:dyDescent="0.2">
      <c r="D57" s="5" t="s">
        <v>710</v>
      </c>
    </row>
    <row r="58" spans="2:4" x14ac:dyDescent="0.2">
      <c r="D58" s="5" t="s">
        <v>732</v>
      </c>
    </row>
    <row r="59" spans="2:4" x14ac:dyDescent="0.2">
      <c r="D59" s="5" t="s">
        <v>976</v>
      </c>
    </row>
    <row r="60" spans="2:4" x14ac:dyDescent="0.2">
      <c r="D60" s="5" t="s">
        <v>739</v>
      </c>
    </row>
    <row r="61" spans="2:4" x14ac:dyDescent="0.2">
      <c r="B61" s="5" t="s">
        <v>977</v>
      </c>
    </row>
    <row r="62" spans="2:4" x14ac:dyDescent="0.2">
      <c r="D62" s="5" t="s">
        <v>709</v>
      </c>
    </row>
    <row r="63" spans="2:4" x14ac:dyDescent="0.2">
      <c r="D63" s="5" t="s">
        <v>710</v>
      </c>
    </row>
    <row r="64" spans="2:4" x14ac:dyDescent="0.2">
      <c r="D64" s="5" t="s">
        <v>711</v>
      </c>
    </row>
    <row r="65" spans="2:4" x14ac:dyDescent="0.2">
      <c r="D65" s="5" t="s">
        <v>712</v>
      </c>
    </row>
    <row r="66" spans="2:4" x14ac:dyDescent="0.2">
      <c r="D66" s="5" t="s">
        <v>713</v>
      </c>
    </row>
    <row r="67" spans="2:4" x14ac:dyDescent="0.2">
      <c r="B67" s="5" t="s">
        <v>978</v>
      </c>
    </row>
    <row r="68" spans="2:4" x14ac:dyDescent="0.2">
      <c r="D68" s="5" t="s">
        <v>788</v>
      </c>
    </row>
    <row r="69" spans="2:4" x14ac:dyDescent="0.2">
      <c r="D69" s="5" t="s">
        <v>710</v>
      </c>
    </row>
    <row r="70" spans="2:4" x14ac:dyDescent="0.2">
      <c r="D70" s="5" t="s">
        <v>732</v>
      </c>
    </row>
    <row r="71" spans="2:4" x14ac:dyDescent="0.2">
      <c r="D71" s="5" t="s">
        <v>733</v>
      </c>
    </row>
    <row r="72" spans="2:4" x14ac:dyDescent="0.2">
      <c r="D72" s="5" t="s">
        <v>713</v>
      </c>
    </row>
  </sheetData>
  <autoFilter ref="A18:H18"/>
  <conditionalFormatting sqref="C17">
    <cfRule type="cellIs" dxfId="43" priority="1" stopIfTrue="1" operator="equal">
      <formula>$B$10</formula>
    </cfRule>
    <cfRule type="cellIs" dxfId="42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indexed="11"/>
  </sheetPr>
  <dimension ref="A1:H84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89</v>
      </c>
      <c r="C2" s="15">
        <f>IF(ISERROR(VALUE(TRIM(CLEAN(MID(C20,FIND("(",C20)+1,FIND("/",C20,1)-FIND("(",C20)-1))))),0,VALUE(TRIM(CLEAN(MID(C20,FIND("(",C20)+1,FIND("/",C20,1)-FIND("(",C20)-1)))))</f>
        <v>89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9</v>
      </c>
      <c r="C3" s="16">
        <f>IF(ISERROR(VALUE(TRIM(CLEAN(MID(C21,FIND("(",C21)+1,FIND("/",C21,1)-FIND("(",C21)-1))))),0,VALUE(TRIM(CLEAN(MID(C21,FIND("(",C21)+1,FIND("/",C21,1)-FIND("(",C21)-1)))))</f>
        <v>9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134</v>
      </c>
      <c r="C4" s="16">
        <f>IF(ISERROR(VALUE(TRIM(CLEAN(MID(C23,FIND("(",C23)+1,FIND("/",C23,1)-FIND("(",C23)-1))))),0,VALUE(TRIM(CLEAN(MID(C23,FIND("(",C23)+1,FIND("/",C23,1)-FIND("(",C23)-1)))))</f>
        <v>134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39</v>
      </c>
      <c r="C5" s="16">
        <f>IF(ISERROR(VALUE(TRIM(CLEAN(MID(C24,FIND("(",C24)+1,FIND("/",C24,1)-FIND("(",C24)-1))))),0,VALUE(TRIM(CLEAN(MID(C24,FIND("(",C24)+1,FIND("/",C24,1)-FIND("(",C24)-1)))))</f>
        <v>39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271</v>
      </c>
      <c r="C7" s="17">
        <f>SUM(C2:C5)</f>
        <v>271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980</v>
      </c>
    </row>
    <row r="20" spans="1:8" x14ac:dyDescent="0.2">
      <c r="C20" s="5" t="s">
        <v>981</v>
      </c>
    </row>
    <row r="21" spans="1:8" x14ac:dyDescent="0.2">
      <c r="C21" s="5" t="s">
        <v>736</v>
      </c>
    </row>
    <row r="22" spans="1:8" x14ac:dyDescent="0.2">
      <c r="C22" s="5" t="s">
        <v>982</v>
      </c>
    </row>
    <row r="23" spans="1:8" x14ac:dyDescent="0.2">
      <c r="C23" s="5" t="s">
        <v>983</v>
      </c>
    </row>
    <row r="24" spans="1:8" x14ac:dyDescent="0.2">
      <c r="C24" s="5" t="s">
        <v>984</v>
      </c>
    </row>
    <row r="25" spans="1:8" x14ac:dyDescent="0.2">
      <c r="B25" s="5" t="s">
        <v>985</v>
      </c>
    </row>
    <row r="26" spans="1:8" x14ac:dyDescent="0.2">
      <c r="D26" s="5" t="s">
        <v>703</v>
      </c>
    </row>
    <row r="27" spans="1:8" x14ac:dyDescent="0.2">
      <c r="D27" s="5" t="s">
        <v>731</v>
      </c>
    </row>
    <row r="28" spans="1:8" x14ac:dyDescent="0.2">
      <c r="D28" s="5" t="s">
        <v>880</v>
      </c>
    </row>
    <row r="29" spans="1:8" x14ac:dyDescent="0.2">
      <c r="D29" s="5" t="s">
        <v>719</v>
      </c>
    </row>
    <row r="30" spans="1:8" x14ac:dyDescent="0.2">
      <c r="D30" s="5" t="s">
        <v>713</v>
      </c>
    </row>
    <row r="31" spans="1:8" x14ac:dyDescent="0.2">
      <c r="B31" s="5" t="s">
        <v>986</v>
      </c>
    </row>
    <row r="32" spans="1:8" x14ac:dyDescent="0.2">
      <c r="D32" s="5" t="s">
        <v>923</v>
      </c>
    </row>
    <row r="33" spans="2:4" x14ac:dyDescent="0.2">
      <c r="D33" s="5" t="s">
        <v>731</v>
      </c>
    </row>
    <row r="34" spans="2:4" x14ac:dyDescent="0.2">
      <c r="D34" s="5" t="s">
        <v>705</v>
      </c>
    </row>
    <row r="35" spans="2:4" x14ac:dyDescent="0.2">
      <c r="D35" s="5" t="s">
        <v>881</v>
      </c>
    </row>
    <row r="36" spans="2:4" x14ac:dyDescent="0.2">
      <c r="D36" s="5" t="s">
        <v>713</v>
      </c>
    </row>
    <row r="37" spans="2:4" x14ac:dyDescent="0.2">
      <c r="B37" s="5" t="s">
        <v>987</v>
      </c>
    </row>
    <row r="38" spans="2:4" x14ac:dyDescent="0.2">
      <c r="D38" s="5" t="s">
        <v>797</v>
      </c>
    </row>
    <row r="39" spans="2:4" x14ac:dyDescent="0.2">
      <c r="D39" s="5" t="s">
        <v>768</v>
      </c>
    </row>
    <row r="40" spans="2:4" x14ac:dyDescent="0.2">
      <c r="D40" s="5" t="s">
        <v>746</v>
      </c>
    </row>
    <row r="41" spans="2:4" x14ac:dyDescent="0.2">
      <c r="D41" s="5" t="s">
        <v>881</v>
      </c>
    </row>
    <row r="42" spans="2:4" x14ac:dyDescent="0.2">
      <c r="D42" s="5" t="s">
        <v>720</v>
      </c>
    </row>
    <row r="43" spans="2:4" x14ac:dyDescent="0.2">
      <c r="B43" s="5" t="s">
        <v>988</v>
      </c>
    </row>
    <row r="44" spans="2:4" x14ac:dyDescent="0.2">
      <c r="D44" s="5" t="s">
        <v>879</v>
      </c>
    </row>
    <row r="45" spans="2:4" x14ac:dyDescent="0.2">
      <c r="D45" s="5" t="s">
        <v>710</v>
      </c>
    </row>
    <row r="46" spans="2:4" x14ac:dyDescent="0.2">
      <c r="D46" s="5" t="s">
        <v>880</v>
      </c>
    </row>
    <row r="47" spans="2:4" x14ac:dyDescent="0.2">
      <c r="D47" s="5" t="s">
        <v>989</v>
      </c>
    </row>
    <row r="48" spans="2:4" x14ac:dyDescent="0.2">
      <c r="D48" s="5" t="s">
        <v>748</v>
      </c>
    </row>
    <row r="49" spans="2:4" x14ac:dyDescent="0.2">
      <c r="B49" s="5" t="s">
        <v>990</v>
      </c>
    </row>
    <row r="50" spans="2:4" x14ac:dyDescent="0.2">
      <c r="D50" s="5" t="s">
        <v>715</v>
      </c>
    </row>
    <row r="51" spans="2:4" x14ac:dyDescent="0.2">
      <c r="D51" s="5" t="s">
        <v>710</v>
      </c>
    </row>
    <row r="52" spans="2:4" x14ac:dyDescent="0.2">
      <c r="D52" s="5" t="s">
        <v>746</v>
      </c>
    </row>
    <row r="53" spans="2:4" x14ac:dyDescent="0.2">
      <c r="D53" s="5" t="s">
        <v>989</v>
      </c>
    </row>
    <row r="54" spans="2:4" x14ac:dyDescent="0.2">
      <c r="D54" s="5" t="s">
        <v>748</v>
      </c>
    </row>
    <row r="55" spans="2:4" x14ac:dyDescent="0.2">
      <c r="B55" s="5" t="s">
        <v>991</v>
      </c>
    </row>
    <row r="56" spans="2:4" x14ac:dyDescent="0.2">
      <c r="D56" s="5" t="s">
        <v>797</v>
      </c>
    </row>
    <row r="57" spans="2:4" x14ac:dyDescent="0.2">
      <c r="D57" s="5" t="s">
        <v>710</v>
      </c>
    </row>
    <row r="58" spans="2:4" x14ac:dyDescent="0.2">
      <c r="D58" s="5" t="s">
        <v>784</v>
      </c>
    </row>
    <row r="59" spans="2:4" x14ac:dyDescent="0.2">
      <c r="D59" s="5" t="s">
        <v>785</v>
      </c>
    </row>
    <row r="60" spans="2:4" x14ac:dyDescent="0.2">
      <c r="D60" s="5" t="s">
        <v>713</v>
      </c>
    </row>
    <row r="61" spans="2:4" x14ac:dyDescent="0.2">
      <c r="B61" s="5" t="s">
        <v>992</v>
      </c>
    </row>
    <row r="62" spans="2:4" x14ac:dyDescent="0.2">
      <c r="D62" s="5" t="s">
        <v>709</v>
      </c>
    </row>
    <row r="63" spans="2:4" x14ac:dyDescent="0.2">
      <c r="D63" s="5" t="s">
        <v>710</v>
      </c>
    </row>
    <row r="64" spans="2:4" x14ac:dyDescent="0.2">
      <c r="D64" s="5" t="s">
        <v>711</v>
      </c>
    </row>
    <row r="65" spans="2:4" x14ac:dyDescent="0.2">
      <c r="D65" s="5" t="s">
        <v>712</v>
      </c>
    </row>
    <row r="66" spans="2:4" x14ac:dyDescent="0.2">
      <c r="D66" s="5" t="s">
        <v>713</v>
      </c>
    </row>
    <row r="67" spans="2:4" x14ac:dyDescent="0.2">
      <c r="B67" s="5" t="s">
        <v>993</v>
      </c>
    </row>
    <row r="68" spans="2:4" x14ac:dyDescent="0.2">
      <c r="D68" s="5" t="s">
        <v>994</v>
      </c>
    </row>
    <row r="69" spans="2:4" x14ac:dyDescent="0.2">
      <c r="D69" s="5" t="s">
        <v>995</v>
      </c>
    </row>
    <row r="70" spans="2:4" x14ac:dyDescent="0.2">
      <c r="D70" s="5" t="s">
        <v>726</v>
      </c>
    </row>
    <row r="71" spans="2:4" x14ac:dyDescent="0.2">
      <c r="D71" s="5" t="s">
        <v>996</v>
      </c>
    </row>
    <row r="72" spans="2:4" x14ac:dyDescent="0.2">
      <c r="D72" s="5" t="s">
        <v>997</v>
      </c>
    </row>
    <row r="73" spans="2:4" x14ac:dyDescent="0.2">
      <c r="B73" s="5" t="s">
        <v>998</v>
      </c>
    </row>
    <row r="74" spans="2:4" x14ac:dyDescent="0.2">
      <c r="D74" s="5" t="s">
        <v>709</v>
      </c>
    </row>
    <row r="75" spans="2:4" x14ac:dyDescent="0.2">
      <c r="D75" s="5" t="s">
        <v>710</v>
      </c>
    </row>
    <row r="76" spans="2:4" x14ac:dyDescent="0.2">
      <c r="D76" s="5" t="s">
        <v>711</v>
      </c>
    </row>
    <row r="77" spans="2:4" x14ac:dyDescent="0.2">
      <c r="D77" s="5" t="s">
        <v>712</v>
      </c>
    </row>
    <row r="78" spans="2:4" x14ac:dyDescent="0.2">
      <c r="D78" s="5" t="s">
        <v>713</v>
      </c>
    </row>
    <row r="79" spans="2:4" x14ac:dyDescent="0.2">
      <c r="B79" s="5" t="s">
        <v>999</v>
      </c>
    </row>
    <row r="80" spans="2:4" x14ac:dyDescent="0.2">
      <c r="D80" s="5" t="s">
        <v>709</v>
      </c>
    </row>
    <row r="81" spans="4:4" x14ac:dyDescent="0.2">
      <c r="D81" s="5" t="s">
        <v>710</v>
      </c>
    </row>
    <row r="82" spans="4:4" x14ac:dyDescent="0.2">
      <c r="D82" s="5" t="s">
        <v>711</v>
      </c>
    </row>
    <row r="83" spans="4:4" x14ac:dyDescent="0.2">
      <c r="D83" s="5" t="s">
        <v>712</v>
      </c>
    </row>
    <row r="84" spans="4:4" x14ac:dyDescent="0.2">
      <c r="D84" s="5" t="s">
        <v>713</v>
      </c>
    </row>
  </sheetData>
  <autoFilter ref="A18:H18"/>
  <conditionalFormatting sqref="C17">
    <cfRule type="cellIs" dxfId="41" priority="1" stopIfTrue="1" operator="equal">
      <formula>$B$10</formula>
    </cfRule>
    <cfRule type="cellIs" dxfId="40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</v>
      </c>
      <c r="C2" s="15">
        <f>IF(ISERROR(VALUE(TRIM(CLEAN(MID(C20,FIND("(",C20)+1,FIND("/",C20,1)-FIND("(",C20)-1))))),0,VALUE(TRIM(CLEAN(MID(C20,FIND("(",C20)+1,FIND("/",C20,1)-FIND("(",C20)-1)))))</f>
        <v>2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0</v>
      </c>
      <c r="C4" s="16">
        <f>IF(ISERROR(VALUE(TRIM(CLEAN(MID(C23,FIND("(",C23)+1,FIND("/",C23,1)-FIND("(",C23)-1))))),0,VALUE(TRIM(CLEAN(MID(C23,FIND("(",C23)+1,FIND("/",C23,1)-FIND("(",C23)-1)))))</f>
        <v>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</v>
      </c>
      <c r="C7" s="17">
        <f>SUM(C2:C5)</f>
        <v>2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1001</v>
      </c>
    </row>
    <row r="20" spans="1:8" x14ac:dyDescent="0.2">
      <c r="C20" s="5" t="s">
        <v>730</v>
      </c>
    </row>
    <row r="21" spans="1:8" x14ac:dyDescent="0.2">
      <c r="C21" s="5" t="s">
        <v>710</v>
      </c>
    </row>
    <row r="22" spans="1:8" x14ac:dyDescent="0.2">
      <c r="C22" s="5" t="s">
        <v>792</v>
      </c>
    </row>
    <row r="23" spans="1:8" x14ac:dyDescent="0.2">
      <c r="C23" s="5" t="s">
        <v>712</v>
      </c>
    </row>
    <row r="24" spans="1:8" x14ac:dyDescent="0.2">
      <c r="C24" s="5" t="s">
        <v>713</v>
      </c>
    </row>
    <row r="25" spans="1:8" x14ac:dyDescent="0.2">
      <c r="B25" s="5" t="s">
        <v>1002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1003</v>
      </c>
    </row>
    <row r="32" spans="1:8" x14ac:dyDescent="0.2">
      <c r="D32" s="5" t="s">
        <v>709</v>
      </c>
    </row>
    <row r="33" spans="4:4" x14ac:dyDescent="0.2">
      <c r="D33" s="5" t="s">
        <v>710</v>
      </c>
    </row>
    <row r="34" spans="4:4" x14ac:dyDescent="0.2">
      <c r="D34" s="5" t="s">
        <v>711</v>
      </c>
    </row>
    <row r="35" spans="4:4" x14ac:dyDescent="0.2">
      <c r="D35" s="5" t="s">
        <v>712</v>
      </c>
    </row>
    <row r="36" spans="4:4" x14ac:dyDescent="0.2">
      <c r="D36" s="5" t="s">
        <v>713</v>
      </c>
    </row>
  </sheetData>
  <autoFilter ref="A18:H18"/>
  <conditionalFormatting sqref="C17">
    <cfRule type="cellIs" dxfId="39" priority="1" stopIfTrue="1" operator="equal">
      <formula>$B$10</formula>
    </cfRule>
    <cfRule type="cellIs" dxfId="38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indexed="11"/>
  </sheetPr>
  <dimension ref="A1:H30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13</v>
      </c>
      <c r="C2" s="15">
        <f>IF(ISERROR(VALUE(TRIM(CLEAN(MID(C20,FIND("(",C20)+1,FIND("/",C20,1)-FIND("(",C20)-1))))),0,VALUE(TRIM(CLEAN(MID(C20,FIND("(",C20)+1,FIND("/",C20,1)-FIND("(",C20)-1)))))</f>
        <v>13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1</v>
      </c>
      <c r="C3" s="16">
        <f>IF(ISERROR(VALUE(TRIM(CLEAN(MID(C21,FIND("(",C21)+1,FIND("/",C21,1)-FIND("(",C21)-1))))),0,VALUE(TRIM(CLEAN(MID(C21,FIND("(",C21)+1,FIND("/",C21,1)-FIND("(",C21)-1)))))</f>
        <v>1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23</v>
      </c>
      <c r="C4" s="16">
        <f>IF(ISERROR(VALUE(TRIM(CLEAN(MID(C23,FIND("(",C23)+1,FIND("/",C23,1)-FIND("(",C23)-1))))),0,VALUE(TRIM(CLEAN(MID(C23,FIND("(",C23)+1,FIND("/",C23,1)-FIND("(",C23)-1)))))</f>
        <v>23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6</v>
      </c>
      <c r="C5" s="16">
        <f>IF(ISERROR(VALUE(TRIM(CLEAN(MID(C24,FIND("(",C24)+1,FIND("/",C24,1)-FIND("(",C24)-1))))),0,VALUE(TRIM(CLEAN(MID(C24,FIND("(",C24)+1,FIND("/",C24,1)-FIND("(",C24)-1)))))</f>
        <v>6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43</v>
      </c>
      <c r="C7" s="17">
        <f>SUM(C2:C5)</f>
        <v>43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1005</v>
      </c>
    </row>
    <row r="20" spans="1:8" x14ac:dyDescent="0.2">
      <c r="C20" s="5" t="s">
        <v>1006</v>
      </c>
    </row>
    <row r="21" spans="1:8" x14ac:dyDescent="0.2">
      <c r="C21" s="5" t="s">
        <v>731</v>
      </c>
    </row>
    <row r="22" spans="1:8" x14ac:dyDescent="0.2">
      <c r="C22" s="5" t="s">
        <v>968</v>
      </c>
    </row>
    <row r="23" spans="1:8" x14ac:dyDescent="0.2">
      <c r="C23" s="5" t="s">
        <v>1007</v>
      </c>
    </row>
    <row r="24" spans="1:8" x14ac:dyDescent="0.2">
      <c r="C24" s="5" t="s">
        <v>891</v>
      </c>
    </row>
    <row r="25" spans="1:8" x14ac:dyDescent="0.2">
      <c r="B25" s="5" t="s">
        <v>1008</v>
      </c>
    </row>
    <row r="26" spans="1:8" x14ac:dyDescent="0.2">
      <c r="D26" s="5" t="s">
        <v>1006</v>
      </c>
    </row>
    <row r="27" spans="1:8" x14ac:dyDescent="0.2">
      <c r="D27" s="5" t="s">
        <v>731</v>
      </c>
    </row>
    <row r="28" spans="1:8" x14ac:dyDescent="0.2">
      <c r="D28" s="5" t="s">
        <v>968</v>
      </c>
    </row>
    <row r="29" spans="1:8" x14ac:dyDescent="0.2">
      <c r="D29" s="5" t="s">
        <v>1007</v>
      </c>
    </row>
    <row r="30" spans="1:8" x14ac:dyDescent="0.2">
      <c r="D30" s="5" t="s">
        <v>891</v>
      </c>
    </row>
  </sheetData>
  <autoFilter ref="A18:H18"/>
  <conditionalFormatting sqref="C17">
    <cfRule type="cellIs" dxfId="37" priority="1" stopIfTrue="1" operator="equal">
      <formula>$B$10</formula>
    </cfRule>
    <cfRule type="cellIs" dxfId="36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indexed="11"/>
  </sheetPr>
  <dimension ref="A1:H48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6</v>
      </c>
      <c r="C2" s="15">
        <f>IF(ISERROR(VALUE(TRIM(CLEAN(MID(C20,FIND("(",C20)+1,FIND("/",C20,1)-FIND("(",C20)-1))))),0,VALUE(TRIM(CLEAN(MID(C20,FIND("(",C20)+1,FIND("/",C20,1)-FIND("(",C20)-1)))))</f>
        <v>6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176</v>
      </c>
      <c r="C4" s="16">
        <f>IF(ISERROR(VALUE(TRIM(CLEAN(MID(C23,FIND("(",C23)+1,FIND("/",C23,1)-FIND("(",C23)-1))))),0,VALUE(TRIM(CLEAN(MID(C23,FIND("(",C23)+1,FIND("/",C23,1)-FIND("(",C23)-1)))))</f>
        <v>176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87</v>
      </c>
      <c r="C5" s="16">
        <f>IF(ISERROR(VALUE(TRIM(CLEAN(MID(C24,FIND("(",C24)+1,FIND("/",C24,1)-FIND("(",C24)-1))))),0,VALUE(TRIM(CLEAN(MID(C24,FIND("(",C24)+1,FIND("/",C24,1)-FIND("(",C24)-1)))))</f>
        <v>87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269</v>
      </c>
      <c r="C7" s="17">
        <f>SUM(C2:C5)</f>
        <v>269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1010</v>
      </c>
    </row>
    <row r="20" spans="1:8" x14ac:dyDescent="0.2">
      <c r="C20" s="5" t="s">
        <v>1011</v>
      </c>
    </row>
    <row r="21" spans="1:8" x14ac:dyDescent="0.2">
      <c r="C21" s="5" t="s">
        <v>710</v>
      </c>
    </row>
    <row r="22" spans="1:8" x14ac:dyDescent="0.2">
      <c r="C22" s="5" t="s">
        <v>1012</v>
      </c>
    </row>
    <row r="23" spans="1:8" x14ac:dyDescent="0.2">
      <c r="C23" s="5" t="s">
        <v>1013</v>
      </c>
    </row>
    <row r="24" spans="1:8" x14ac:dyDescent="0.2">
      <c r="C24" s="5" t="s">
        <v>1014</v>
      </c>
    </row>
    <row r="25" spans="1:8" x14ac:dyDescent="0.2">
      <c r="B25" s="5" t="s">
        <v>1015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1016</v>
      </c>
    </row>
    <row r="32" spans="1:8" x14ac:dyDescent="0.2">
      <c r="D32" s="5" t="s">
        <v>709</v>
      </c>
    </row>
    <row r="33" spans="2:4" x14ac:dyDescent="0.2">
      <c r="D33" s="5" t="s">
        <v>710</v>
      </c>
    </row>
    <row r="34" spans="2:4" x14ac:dyDescent="0.2">
      <c r="D34" s="5" t="s">
        <v>711</v>
      </c>
    </row>
    <row r="35" spans="2:4" x14ac:dyDescent="0.2">
      <c r="D35" s="5" t="s">
        <v>712</v>
      </c>
    </row>
    <row r="36" spans="2:4" x14ac:dyDescent="0.2">
      <c r="D36" s="5" t="s">
        <v>713</v>
      </c>
    </row>
    <row r="37" spans="2:4" x14ac:dyDescent="0.2">
      <c r="B37" s="5" t="s">
        <v>1017</v>
      </c>
    </row>
    <row r="38" spans="2:4" x14ac:dyDescent="0.2">
      <c r="D38" s="5" t="s">
        <v>788</v>
      </c>
    </row>
    <row r="39" spans="2:4" x14ac:dyDescent="0.2">
      <c r="D39" s="5" t="s">
        <v>710</v>
      </c>
    </row>
    <row r="40" spans="2:4" x14ac:dyDescent="0.2">
      <c r="D40" s="5" t="s">
        <v>732</v>
      </c>
    </row>
    <row r="41" spans="2:4" x14ac:dyDescent="0.2">
      <c r="D41" s="5" t="s">
        <v>1013</v>
      </c>
    </row>
    <row r="42" spans="2:4" x14ac:dyDescent="0.2">
      <c r="D42" s="5" t="s">
        <v>1014</v>
      </c>
    </row>
    <row r="43" spans="2:4" x14ac:dyDescent="0.2">
      <c r="B43" s="5" t="s">
        <v>1018</v>
      </c>
    </row>
    <row r="44" spans="2:4" x14ac:dyDescent="0.2">
      <c r="D44" s="5" t="s">
        <v>709</v>
      </c>
    </row>
    <row r="45" spans="2:4" x14ac:dyDescent="0.2">
      <c r="D45" s="5" t="s">
        <v>710</v>
      </c>
    </row>
    <row r="46" spans="2:4" x14ac:dyDescent="0.2">
      <c r="D46" s="5" t="s">
        <v>711</v>
      </c>
    </row>
    <row r="47" spans="2:4" x14ac:dyDescent="0.2">
      <c r="D47" s="5" t="s">
        <v>712</v>
      </c>
    </row>
    <row r="48" spans="2:4" x14ac:dyDescent="0.2">
      <c r="D48" s="5" t="s">
        <v>713</v>
      </c>
    </row>
  </sheetData>
  <autoFilter ref="A18:H18"/>
  <conditionalFormatting sqref="C17">
    <cfRule type="cellIs" dxfId="35" priority="1" stopIfTrue="1" operator="equal">
      <formula>$B$10</formula>
    </cfRule>
    <cfRule type="cellIs" dxfId="34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indexed="11"/>
  </sheetPr>
  <dimension ref="A1:H36"/>
  <sheetViews>
    <sheetView workbookViewId="0">
      <selection activeCell="E3" sqref="E3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3</v>
      </c>
      <c r="C2" s="15">
        <f>IF(ISERROR(VALUE(TRIM(CLEAN(MID(C20,FIND("(",C20)+1,FIND("/",C20,1)-FIND("(",C20)-1))))),0,VALUE(TRIM(CLEAN(MID(C20,FIND("(",C20)+1,FIND("/",C20,1)-FIND("(",C20)-1)))))</f>
        <v>3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1</v>
      </c>
      <c r="C3" s="16">
        <f>IF(ISERROR(VALUE(TRIM(CLEAN(MID(C21,FIND("(",C21)+1,FIND("/",C21,1)-FIND("(",C21)-1))))),0,VALUE(TRIM(CLEAN(MID(C21,FIND("(",C21)+1,FIND("/",C21,1)-FIND("(",C21)-1)))))</f>
        <v>1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2</v>
      </c>
      <c r="C4" s="16">
        <f>IF(ISERROR(VALUE(TRIM(CLEAN(MID(C23,FIND("(",C23)+1,FIND("/",C23,1)-FIND("(",C23)-1))))),0,VALUE(TRIM(CLEAN(MID(C23,FIND("(",C23)+1,FIND("/",C23,1)-FIND("(",C23)-1)))))</f>
        <v>2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6</v>
      </c>
      <c r="C7" s="17">
        <f>SUM(C2:C5)</f>
        <v>6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1020</v>
      </c>
    </row>
    <row r="20" spans="1:8" x14ac:dyDescent="0.2">
      <c r="C20" s="5" t="s">
        <v>788</v>
      </c>
    </row>
    <row r="21" spans="1:8" x14ac:dyDescent="0.2">
      <c r="C21" s="5" t="s">
        <v>731</v>
      </c>
    </row>
    <row r="22" spans="1:8" x14ac:dyDescent="0.2">
      <c r="C22" s="5" t="s">
        <v>789</v>
      </c>
    </row>
    <row r="23" spans="1:8" x14ac:dyDescent="0.2">
      <c r="C23" s="5" t="s">
        <v>733</v>
      </c>
    </row>
    <row r="24" spans="1:8" x14ac:dyDescent="0.2">
      <c r="C24" s="5" t="s">
        <v>713</v>
      </c>
    </row>
    <row r="25" spans="1:8" x14ac:dyDescent="0.2">
      <c r="B25" s="5" t="s">
        <v>1021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1022</v>
      </c>
    </row>
    <row r="32" spans="1:8" x14ac:dyDescent="0.2">
      <c r="D32" s="5" t="s">
        <v>730</v>
      </c>
    </row>
    <row r="33" spans="4:4" x14ac:dyDescent="0.2">
      <c r="D33" s="5" t="s">
        <v>731</v>
      </c>
    </row>
    <row r="34" spans="4:4" x14ac:dyDescent="0.2">
      <c r="D34" s="5" t="s">
        <v>732</v>
      </c>
    </row>
    <row r="35" spans="4:4" x14ac:dyDescent="0.2">
      <c r="D35" s="5" t="s">
        <v>733</v>
      </c>
    </row>
    <row r="36" spans="4:4" x14ac:dyDescent="0.2">
      <c r="D36" s="5" t="s">
        <v>713</v>
      </c>
    </row>
  </sheetData>
  <autoFilter ref="A18:H18"/>
  <conditionalFormatting sqref="C17">
    <cfRule type="cellIs" dxfId="33" priority="1" stopIfTrue="1" operator="equal">
      <formula>$B$10</formula>
    </cfRule>
    <cfRule type="cellIs" dxfId="32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indexed="11"/>
  </sheetPr>
  <dimension ref="A1:H84"/>
  <sheetViews>
    <sheetView workbookViewId="0">
      <selection activeCell="E3" sqref="E3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51</v>
      </c>
      <c r="C2" s="15">
        <f>IF(ISERROR(VALUE(TRIM(CLEAN(MID(C20,FIND("(",C20)+1,FIND("/",C20,1)-FIND("(",C20)-1))))),0,VALUE(TRIM(CLEAN(MID(C20,FIND("(",C20)+1,FIND("/",C20,1)-FIND("(",C20)-1)))))</f>
        <v>51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79</v>
      </c>
      <c r="C4" s="16">
        <f>IF(ISERROR(VALUE(TRIM(CLEAN(MID(C23,FIND("(",C23)+1,FIND("/",C23,1)-FIND("(",C23)-1))))),0,VALUE(TRIM(CLEAN(MID(C23,FIND("(",C23)+1,FIND("/",C23,1)-FIND("(",C23)-1)))))</f>
        <v>79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25</v>
      </c>
      <c r="C5" s="16">
        <f>IF(ISERROR(VALUE(TRIM(CLEAN(MID(C24,FIND("(",C24)+1,FIND("/",C24,1)-FIND("(",C24)-1))))),0,VALUE(TRIM(CLEAN(MID(C24,FIND("(",C24)+1,FIND("/",C24,1)-FIND("(",C24)-1)))))</f>
        <v>25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155</v>
      </c>
      <c r="C7" s="17">
        <f>SUM(C2:C5)</f>
        <v>155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1024</v>
      </c>
    </row>
    <row r="20" spans="1:8" x14ac:dyDescent="0.2">
      <c r="C20" s="5" t="s">
        <v>1025</v>
      </c>
    </row>
    <row r="21" spans="1:8" x14ac:dyDescent="0.2">
      <c r="C21" s="5" t="s">
        <v>710</v>
      </c>
    </row>
    <row r="22" spans="1:8" x14ac:dyDescent="0.2">
      <c r="C22" s="5" t="s">
        <v>1026</v>
      </c>
    </row>
    <row r="23" spans="1:8" x14ac:dyDescent="0.2">
      <c r="C23" s="5" t="s">
        <v>1027</v>
      </c>
    </row>
    <row r="24" spans="1:8" x14ac:dyDescent="0.2">
      <c r="C24" s="5" t="s">
        <v>1028</v>
      </c>
    </row>
    <row r="25" spans="1:8" x14ac:dyDescent="0.2">
      <c r="B25" s="5" t="s">
        <v>1029</v>
      </c>
    </row>
    <row r="26" spans="1:8" x14ac:dyDescent="0.2">
      <c r="D26" s="5" t="s">
        <v>788</v>
      </c>
    </row>
    <row r="27" spans="1:8" x14ac:dyDescent="0.2">
      <c r="D27" s="5" t="s">
        <v>710</v>
      </c>
    </row>
    <row r="28" spans="1:8" x14ac:dyDescent="0.2">
      <c r="D28" s="5" t="s">
        <v>732</v>
      </c>
    </row>
    <row r="29" spans="1:8" x14ac:dyDescent="0.2">
      <c r="D29" s="5" t="s">
        <v>733</v>
      </c>
    </row>
    <row r="30" spans="1:8" x14ac:dyDescent="0.2">
      <c r="D30" s="5" t="s">
        <v>713</v>
      </c>
    </row>
    <row r="31" spans="1:8" x14ac:dyDescent="0.2">
      <c r="B31" s="5" t="s">
        <v>1030</v>
      </c>
    </row>
    <row r="32" spans="1:8" x14ac:dyDescent="0.2">
      <c r="D32" s="5" t="s">
        <v>788</v>
      </c>
    </row>
    <row r="33" spans="2:4" x14ac:dyDescent="0.2">
      <c r="D33" s="5" t="s">
        <v>710</v>
      </c>
    </row>
    <row r="34" spans="2:4" x14ac:dyDescent="0.2">
      <c r="D34" s="5" t="s">
        <v>732</v>
      </c>
    </row>
    <row r="35" spans="2:4" x14ac:dyDescent="0.2">
      <c r="D35" s="5" t="s">
        <v>733</v>
      </c>
    </row>
    <row r="36" spans="2:4" x14ac:dyDescent="0.2">
      <c r="D36" s="5" t="s">
        <v>713</v>
      </c>
    </row>
    <row r="37" spans="2:4" x14ac:dyDescent="0.2">
      <c r="B37" s="5" t="s">
        <v>1031</v>
      </c>
    </row>
    <row r="38" spans="2:4" x14ac:dyDescent="0.2">
      <c r="D38" s="5" t="s">
        <v>788</v>
      </c>
    </row>
    <row r="39" spans="2:4" x14ac:dyDescent="0.2">
      <c r="D39" s="5" t="s">
        <v>710</v>
      </c>
    </row>
    <row r="40" spans="2:4" x14ac:dyDescent="0.2">
      <c r="D40" s="5" t="s">
        <v>732</v>
      </c>
    </row>
    <row r="41" spans="2:4" x14ac:dyDescent="0.2">
      <c r="D41" s="5" t="s">
        <v>733</v>
      </c>
    </row>
    <row r="42" spans="2:4" x14ac:dyDescent="0.2">
      <c r="D42" s="5" t="s">
        <v>713</v>
      </c>
    </row>
    <row r="43" spans="2:4" x14ac:dyDescent="0.2">
      <c r="B43" s="5" t="s">
        <v>1032</v>
      </c>
    </row>
    <row r="44" spans="2:4" x14ac:dyDescent="0.2">
      <c r="D44" s="5" t="s">
        <v>788</v>
      </c>
    </row>
    <row r="45" spans="2:4" x14ac:dyDescent="0.2">
      <c r="D45" s="5" t="s">
        <v>710</v>
      </c>
    </row>
    <row r="46" spans="2:4" x14ac:dyDescent="0.2">
      <c r="D46" s="5" t="s">
        <v>732</v>
      </c>
    </row>
    <row r="47" spans="2:4" x14ac:dyDescent="0.2">
      <c r="D47" s="5" t="s">
        <v>733</v>
      </c>
    </row>
    <row r="48" spans="2:4" x14ac:dyDescent="0.2">
      <c r="D48" s="5" t="s">
        <v>713</v>
      </c>
    </row>
    <row r="49" spans="2:4" x14ac:dyDescent="0.2">
      <c r="B49" s="5" t="s">
        <v>1033</v>
      </c>
    </row>
    <row r="50" spans="2:4" x14ac:dyDescent="0.2">
      <c r="D50" s="5" t="s">
        <v>788</v>
      </c>
    </row>
    <row r="51" spans="2:4" x14ac:dyDescent="0.2">
      <c r="D51" s="5" t="s">
        <v>710</v>
      </c>
    </row>
    <row r="52" spans="2:4" x14ac:dyDescent="0.2">
      <c r="D52" s="5" t="s">
        <v>732</v>
      </c>
    </row>
    <row r="53" spans="2:4" x14ac:dyDescent="0.2">
      <c r="D53" s="5" t="s">
        <v>733</v>
      </c>
    </row>
    <row r="54" spans="2:4" x14ac:dyDescent="0.2">
      <c r="D54" s="5" t="s">
        <v>713</v>
      </c>
    </row>
    <row r="55" spans="2:4" x14ac:dyDescent="0.2">
      <c r="B55" s="5" t="s">
        <v>1034</v>
      </c>
    </row>
    <row r="56" spans="2:4" x14ac:dyDescent="0.2">
      <c r="D56" s="5" t="s">
        <v>788</v>
      </c>
    </row>
    <row r="57" spans="2:4" x14ac:dyDescent="0.2">
      <c r="D57" s="5" t="s">
        <v>710</v>
      </c>
    </row>
    <row r="58" spans="2:4" x14ac:dyDescent="0.2">
      <c r="D58" s="5" t="s">
        <v>732</v>
      </c>
    </row>
    <row r="59" spans="2:4" x14ac:dyDescent="0.2">
      <c r="D59" s="5" t="s">
        <v>733</v>
      </c>
    </row>
    <row r="60" spans="2:4" x14ac:dyDescent="0.2">
      <c r="D60" s="5" t="s">
        <v>713</v>
      </c>
    </row>
    <row r="61" spans="2:4" x14ac:dyDescent="0.2">
      <c r="B61" s="5" t="s">
        <v>1035</v>
      </c>
    </row>
    <row r="62" spans="2:4" x14ac:dyDescent="0.2">
      <c r="D62" s="5" t="s">
        <v>709</v>
      </c>
    </row>
    <row r="63" spans="2:4" x14ac:dyDescent="0.2">
      <c r="D63" s="5" t="s">
        <v>710</v>
      </c>
    </row>
    <row r="64" spans="2:4" x14ac:dyDescent="0.2">
      <c r="D64" s="5" t="s">
        <v>711</v>
      </c>
    </row>
    <row r="65" spans="2:4" x14ac:dyDescent="0.2">
      <c r="D65" s="5" t="s">
        <v>712</v>
      </c>
    </row>
    <row r="66" spans="2:4" x14ac:dyDescent="0.2">
      <c r="D66" s="5" t="s">
        <v>713</v>
      </c>
    </row>
    <row r="67" spans="2:4" x14ac:dyDescent="0.2">
      <c r="B67" s="5" t="s">
        <v>1036</v>
      </c>
    </row>
    <row r="68" spans="2:4" x14ac:dyDescent="0.2">
      <c r="D68" s="5" t="s">
        <v>1037</v>
      </c>
    </row>
    <row r="69" spans="2:4" x14ac:dyDescent="0.2">
      <c r="D69" s="5" t="s">
        <v>710</v>
      </c>
    </row>
    <row r="70" spans="2:4" x14ac:dyDescent="0.2">
      <c r="D70" s="5" t="s">
        <v>1038</v>
      </c>
    </row>
    <row r="71" spans="2:4" x14ac:dyDescent="0.2">
      <c r="D71" s="5" t="s">
        <v>1039</v>
      </c>
    </row>
    <row r="72" spans="2:4" x14ac:dyDescent="0.2">
      <c r="D72" s="5" t="s">
        <v>915</v>
      </c>
    </row>
    <row r="73" spans="2:4" x14ac:dyDescent="0.2">
      <c r="B73" s="5" t="s">
        <v>1040</v>
      </c>
    </row>
    <row r="74" spans="2:4" x14ac:dyDescent="0.2">
      <c r="D74" s="5" t="s">
        <v>709</v>
      </c>
    </row>
    <row r="75" spans="2:4" x14ac:dyDescent="0.2">
      <c r="D75" s="5" t="s">
        <v>710</v>
      </c>
    </row>
    <row r="76" spans="2:4" x14ac:dyDescent="0.2">
      <c r="D76" s="5" t="s">
        <v>711</v>
      </c>
    </row>
    <row r="77" spans="2:4" x14ac:dyDescent="0.2">
      <c r="D77" s="5" t="s">
        <v>712</v>
      </c>
    </row>
    <row r="78" spans="2:4" x14ac:dyDescent="0.2">
      <c r="D78" s="5" t="s">
        <v>713</v>
      </c>
    </row>
    <row r="79" spans="2:4" x14ac:dyDescent="0.2">
      <c r="B79" s="5" t="s">
        <v>1041</v>
      </c>
    </row>
    <row r="80" spans="2:4" x14ac:dyDescent="0.2">
      <c r="D80" s="5" t="s">
        <v>788</v>
      </c>
    </row>
    <row r="81" spans="4:4" x14ac:dyDescent="0.2">
      <c r="D81" s="5" t="s">
        <v>710</v>
      </c>
    </row>
    <row r="82" spans="4:4" x14ac:dyDescent="0.2">
      <c r="D82" s="5" t="s">
        <v>732</v>
      </c>
    </row>
    <row r="83" spans="4:4" x14ac:dyDescent="0.2">
      <c r="D83" s="5" t="s">
        <v>914</v>
      </c>
    </row>
    <row r="84" spans="4:4" x14ac:dyDescent="0.2">
      <c r="D84" s="5" t="s">
        <v>824</v>
      </c>
    </row>
  </sheetData>
  <autoFilter ref="A18:H18"/>
  <conditionalFormatting sqref="C17">
    <cfRule type="cellIs" dxfId="31" priority="1" stopIfTrue="1" operator="equal">
      <formula>$B$10</formula>
    </cfRule>
    <cfRule type="cellIs" dxfId="30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14</v>
      </c>
      <c r="C2" s="15">
        <f>IF(ISERROR(VALUE(TRIM(CLEAN(MID(C20,FIND("(",C20)+1,FIND("/",C20,1)-FIND("(",C20)-1))))),0,VALUE(TRIM(CLEAN(MID(C20,FIND("(",C20)+1,FIND("/",C20,1)-FIND("(",C20)-1)))))</f>
        <v>14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2</v>
      </c>
      <c r="C3" s="16">
        <f>IF(ISERROR(VALUE(TRIM(CLEAN(MID(C21,FIND("(",C21)+1,FIND("/",C21,1)-FIND("(",C21)-1))))),0,VALUE(TRIM(CLEAN(MID(C21,FIND("(",C21)+1,FIND("/",C21,1)-FIND("(",C21)-1)))))</f>
        <v>2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14</v>
      </c>
      <c r="C4" s="16">
        <f>IF(ISERROR(VALUE(TRIM(CLEAN(MID(C23,FIND("(",C23)+1,FIND("/",C23,1)-FIND("(",C23)-1))))),0,VALUE(TRIM(CLEAN(MID(C23,FIND("(",C23)+1,FIND("/",C23,1)-FIND("(",C23)-1)))))</f>
        <v>14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30</v>
      </c>
      <c r="C7" s="17">
        <f>SUM(C2:C5)</f>
        <v>30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1043</v>
      </c>
    </row>
    <row r="20" spans="1:8" x14ac:dyDescent="0.2">
      <c r="C20" s="5" t="s">
        <v>920</v>
      </c>
    </row>
    <row r="21" spans="1:8" x14ac:dyDescent="0.2">
      <c r="C21" s="5" t="s">
        <v>768</v>
      </c>
    </row>
    <row r="22" spans="1:8" x14ac:dyDescent="0.2">
      <c r="C22" s="5" t="s">
        <v>1044</v>
      </c>
    </row>
    <row r="23" spans="1:8" x14ac:dyDescent="0.2">
      <c r="C23" s="5" t="s">
        <v>743</v>
      </c>
    </row>
    <row r="24" spans="1:8" x14ac:dyDescent="0.2">
      <c r="C24" s="5" t="s">
        <v>713</v>
      </c>
    </row>
    <row r="25" spans="1:8" x14ac:dyDescent="0.2">
      <c r="B25" s="5" t="s">
        <v>1045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1046</v>
      </c>
    </row>
    <row r="32" spans="1:8" x14ac:dyDescent="0.2">
      <c r="D32" s="5" t="s">
        <v>1006</v>
      </c>
    </row>
    <row r="33" spans="4:4" x14ac:dyDescent="0.2">
      <c r="D33" s="5" t="s">
        <v>768</v>
      </c>
    </row>
    <row r="34" spans="4:4" x14ac:dyDescent="0.2">
      <c r="D34" s="5" t="s">
        <v>913</v>
      </c>
    </row>
    <row r="35" spans="4:4" x14ac:dyDescent="0.2">
      <c r="D35" s="5" t="s">
        <v>743</v>
      </c>
    </row>
    <row r="36" spans="4:4" x14ac:dyDescent="0.2">
      <c r="D36" s="5" t="s">
        <v>713</v>
      </c>
    </row>
  </sheetData>
  <autoFilter ref="A18:H18"/>
  <conditionalFormatting sqref="C17">
    <cfRule type="cellIs" dxfId="29" priority="1" stopIfTrue="1" operator="equal">
      <formula>$B$10</formula>
    </cfRule>
    <cfRule type="cellIs" dxfId="28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indexed="11"/>
  </sheetPr>
  <dimension ref="A1:H54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21</v>
      </c>
      <c r="C2" s="15">
        <f>IF(ISERROR(VALUE(TRIM(CLEAN(MID(C20,FIND("(",C20)+1,FIND("/",C20,1)-FIND("(",C20)-1))))),0,VALUE(TRIM(CLEAN(MID(C20,FIND("(",C20)+1,FIND("/",C20,1)-FIND("(",C20)-1)))))</f>
        <v>21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1</v>
      </c>
      <c r="C3" s="16">
        <f>IF(ISERROR(VALUE(TRIM(CLEAN(MID(C21,FIND("(",C21)+1,FIND("/",C21,1)-FIND("(",C21)-1))))),0,VALUE(TRIM(CLEAN(MID(C21,FIND("(",C21)+1,FIND("/",C21,1)-FIND("(",C21)-1)))))</f>
        <v>1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19</v>
      </c>
      <c r="C4" s="16">
        <f>IF(ISERROR(VALUE(TRIM(CLEAN(MID(C23,FIND("(",C23)+1,FIND("/",C23,1)-FIND("(",C23)-1))))),0,VALUE(TRIM(CLEAN(MID(C23,FIND("(",C23)+1,FIND("/",C23,1)-FIND("(",C23)-1)))))</f>
        <v>19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2</v>
      </c>
      <c r="C5" s="16">
        <f>IF(ISERROR(VALUE(TRIM(CLEAN(MID(C24,FIND("(",C24)+1,FIND("/",C24,1)-FIND("(",C24)-1))))),0,VALUE(TRIM(CLEAN(MID(C24,FIND("(",C24)+1,FIND("/",C24,1)-FIND("(",C24)-1)))))</f>
        <v>2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43</v>
      </c>
      <c r="C7" s="17">
        <f>SUM(C2:C5)</f>
        <v>43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1048</v>
      </c>
    </row>
    <row r="20" spans="1:8" x14ac:dyDescent="0.2">
      <c r="C20" s="5" t="s">
        <v>821</v>
      </c>
    </row>
    <row r="21" spans="1:8" x14ac:dyDescent="0.2">
      <c r="C21" s="5" t="s">
        <v>731</v>
      </c>
    </row>
    <row r="22" spans="1:8" x14ac:dyDescent="0.2">
      <c r="C22" s="5" t="s">
        <v>822</v>
      </c>
    </row>
    <row r="23" spans="1:8" x14ac:dyDescent="0.2">
      <c r="C23" s="5" t="s">
        <v>1049</v>
      </c>
    </row>
    <row r="24" spans="1:8" x14ac:dyDescent="0.2">
      <c r="C24" s="5" t="s">
        <v>744</v>
      </c>
    </row>
    <row r="25" spans="1:8" x14ac:dyDescent="0.2">
      <c r="B25" s="5" t="s">
        <v>1050</v>
      </c>
    </row>
    <row r="26" spans="1:8" x14ac:dyDescent="0.2">
      <c r="D26" s="5" t="s">
        <v>797</v>
      </c>
    </row>
    <row r="27" spans="1:8" x14ac:dyDescent="0.2">
      <c r="D27" s="5" t="s">
        <v>710</v>
      </c>
    </row>
    <row r="28" spans="1:8" x14ac:dyDescent="0.2">
      <c r="D28" s="5" t="s">
        <v>784</v>
      </c>
    </row>
    <row r="29" spans="1:8" x14ac:dyDescent="0.2">
      <c r="D29" s="5" t="s">
        <v>893</v>
      </c>
    </row>
    <row r="30" spans="1:8" x14ac:dyDescent="0.2">
      <c r="D30" s="5" t="s">
        <v>744</v>
      </c>
    </row>
    <row r="31" spans="1:8" x14ac:dyDescent="0.2">
      <c r="B31" s="5" t="s">
        <v>1051</v>
      </c>
    </row>
    <row r="32" spans="1:8" x14ac:dyDescent="0.2">
      <c r="D32" s="5" t="s">
        <v>709</v>
      </c>
    </row>
    <row r="33" spans="2:4" x14ac:dyDescent="0.2">
      <c r="D33" s="5" t="s">
        <v>710</v>
      </c>
    </row>
    <row r="34" spans="2:4" x14ac:dyDescent="0.2">
      <c r="D34" s="5" t="s">
        <v>711</v>
      </c>
    </row>
    <row r="35" spans="2:4" x14ac:dyDescent="0.2">
      <c r="D35" s="5" t="s">
        <v>712</v>
      </c>
    </row>
    <row r="36" spans="2:4" x14ac:dyDescent="0.2">
      <c r="D36" s="5" t="s">
        <v>713</v>
      </c>
    </row>
    <row r="37" spans="2:4" x14ac:dyDescent="0.2">
      <c r="B37" s="5" t="s">
        <v>1052</v>
      </c>
    </row>
    <row r="38" spans="2:4" x14ac:dyDescent="0.2">
      <c r="D38" s="5" t="s">
        <v>1006</v>
      </c>
    </row>
    <row r="39" spans="2:4" x14ac:dyDescent="0.2">
      <c r="D39" s="5" t="s">
        <v>731</v>
      </c>
    </row>
    <row r="40" spans="2:4" x14ac:dyDescent="0.2">
      <c r="D40" s="5" t="s">
        <v>968</v>
      </c>
    </row>
    <row r="41" spans="2:4" x14ac:dyDescent="0.2">
      <c r="D41" s="5" t="s">
        <v>1053</v>
      </c>
    </row>
    <row r="42" spans="2:4" x14ac:dyDescent="0.2">
      <c r="D42" s="5" t="s">
        <v>713</v>
      </c>
    </row>
    <row r="43" spans="2:4" x14ac:dyDescent="0.2">
      <c r="B43" s="5" t="s">
        <v>1054</v>
      </c>
    </row>
    <row r="44" spans="2:4" x14ac:dyDescent="0.2">
      <c r="D44" s="5" t="s">
        <v>709</v>
      </c>
    </row>
    <row r="45" spans="2:4" x14ac:dyDescent="0.2">
      <c r="D45" s="5" t="s">
        <v>710</v>
      </c>
    </row>
    <row r="46" spans="2:4" x14ac:dyDescent="0.2">
      <c r="D46" s="5" t="s">
        <v>711</v>
      </c>
    </row>
    <row r="47" spans="2:4" x14ac:dyDescent="0.2">
      <c r="D47" s="5" t="s">
        <v>712</v>
      </c>
    </row>
    <row r="48" spans="2:4" x14ac:dyDescent="0.2">
      <c r="D48" s="5" t="s">
        <v>713</v>
      </c>
    </row>
    <row r="49" spans="2:4" x14ac:dyDescent="0.2">
      <c r="B49" s="5" t="s">
        <v>1055</v>
      </c>
    </row>
    <row r="50" spans="2:4" x14ac:dyDescent="0.2">
      <c r="D50" s="5" t="s">
        <v>709</v>
      </c>
    </row>
    <row r="51" spans="2:4" x14ac:dyDescent="0.2">
      <c r="D51" s="5" t="s">
        <v>710</v>
      </c>
    </row>
    <row r="52" spans="2:4" x14ac:dyDescent="0.2">
      <c r="D52" s="5" t="s">
        <v>711</v>
      </c>
    </row>
    <row r="53" spans="2:4" x14ac:dyDescent="0.2">
      <c r="D53" s="5" t="s">
        <v>712</v>
      </c>
    </row>
    <row r="54" spans="2:4" x14ac:dyDescent="0.2">
      <c r="D54" s="5" t="s">
        <v>713</v>
      </c>
    </row>
  </sheetData>
  <autoFilter ref="A18:H18"/>
  <conditionalFormatting sqref="C17">
    <cfRule type="cellIs" dxfId="27" priority="1" stopIfTrue="1" operator="equal">
      <formula>$B$10</formula>
    </cfRule>
    <cfRule type="cellIs" dxfId="26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</v>
      </c>
      <c r="C2" s="15">
        <f>IF(ISERROR(VALUE(TRIM(CLEAN(MID(C20,FIND("(",C20)+1,FIND("/",C20,1)-FIND("(",C20)-1))))),0,VALUE(TRIM(CLEAN(MID(C20,FIND("(",C20)+1,FIND("/",C20,1)-FIND("(",C20)-1)))))</f>
        <v>2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0</v>
      </c>
      <c r="C3" s="16">
        <f>IF(ISERROR(VALUE(TRIM(CLEAN(MID(C21,FIND("(",C21)+1,FIND("/",C21,1)-FIND("(",C21)-1))))),0,VALUE(TRIM(CLEAN(MID(C21,FIND("(",C21)+1,FIND("/",C21,1)-FIND("(",C21)-1)))))</f>
        <v>0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0</v>
      </c>
      <c r="C4" s="16">
        <f>IF(ISERROR(VALUE(TRIM(CLEAN(MID(C23,FIND("(",C23)+1,FIND("/",C23,1)-FIND("(",C23)-1))))),0,VALUE(TRIM(CLEAN(MID(C23,FIND("(",C23)+1,FIND("/",C23,1)-FIND("(",C23)-1)))))</f>
        <v>0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</v>
      </c>
      <c r="C7" s="17">
        <f>SUM(C2:C5)</f>
        <v>2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1057</v>
      </c>
    </row>
    <row r="20" spans="1:8" x14ac:dyDescent="0.2">
      <c r="C20" s="5" t="s">
        <v>730</v>
      </c>
    </row>
    <row r="21" spans="1:8" x14ac:dyDescent="0.2">
      <c r="C21" s="5" t="s">
        <v>710</v>
      </c>
    </row>
    <row r="22" spans="1:8" x14ac:dyDescent="0.2">
      <c r="C22" s="5" t="s">
        <v>792</v>
      </c>
    </row>
    <row r="23" spans="1:8" x14ac:dyDescent="0.2">
      <c r="C23" s="5" t="s">
        <v>712</v>
      </c>
    </row>
    <row r="24" spans="1:8" x14ac:dyDescent="0.2">
      <c r="C24" s="5" t="s">
        <v>713</v>
      </c>
    </row>
    <row r="25" spans="1:8" x14ac:dyDescent="0.2">
      <c r="B25" s="5" t="s">
        <v>1058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1059</v>
      </c>
    </row>
    <row r="32" spans="1:8" x14ac:dyDescent="0.2">
      <c r="D32" s="5" t="s">
        <v>709</v>
      </c>
    </row>
    <row r="33" spans="4:4" x14ac:dyDescent="0.2">
      <c r="D33" s="5" t="s">
        <v>710</v>
      </c>
    </row>
    <row r="34" spans="4:4" x14ac:dyDescent="0.2">
      <c r="D34" s="5" t="s">
        <v>711</v>
      </c>
    </row>
    <row r="35" spans="4:4" x14ac:dyDescent="0.2">
      <c r="D35" s="5" t="s">
        <v>712</v>
      </c>
    </row>
    <row r="36" spans="4:4" x14ac:dyDescent="0.2">
      <c r="D36" s="5" t="s">
        <v>713</v>
      </c>
    </row>
  </sheetData>
  <autoFilter ref="A18:H18"/>
  <conditionalFormatting sqref="C17">
    <cfRule type="cellIs" dxfId="25" priority="1" stopIfTrue="1" operator="equal">
      <formula>$B$10</formula>
    </cfRule>
    <cfRule type="cellIs" dxfId="24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indexed="11"/>
  </sheetPr>
  <dimension ref="A1:H72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25</v>
      </c>
      <c r="C2" s="15">
        <f>IF(ISERROR(VALUE(TRIM(CLEAN(MID(C20,FIND("(",C20)+1,FIND("/",C20,1)-FIND("(",C20)-1))))),0,VALUE(TRIM(CLEAN(MID(C20,FIND("(",C20)+1,FIND("/",C20,1)-FIND("(",C20)-1)))))</f>
        <v>25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4</v>
      </c>
      <c r="C3" s="16">
        <f>IF(ISERROR(VALUE(TRIM(CLEAN(MID(C21,FIND("(",C21)+1,FIND("/",C21,1)-FIND("(",C21)-1))))),0,VALUE(TRIM(CLEAN(MID(C21,FIND("(",C21)+1,FIND("/",C21,1)-FIND("(",C21)-1)))))</f>
        <v>4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29</v>
      </c>
      <c r="C4" s="16">
        <f>IF(ISERROR(VALUE(TRIM(CLEAN(MID(C23,FIND("(",C23)+1,FIND("/",C23,1)-FIND("(",C23)-1))))),0,VALUE(TRIM(CLEAN(MID(C23,FIND("(",C23)+1,FIND("/",C23,1)-FIND("(",C23)-1)))))</f>
        <v>29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7</v>
      </c>
      <c r="C5" s="16">
        <f>IF(ISERROR(VALUE(TRIM(CLEAN(MID(C24,FIND("(",C24)+1,FIND("/",C24,1)-FIND("(",C24)-1))))),0,VALUE(TRIM(CLEAN(MID(C24,FIND("(",C24)+1,FIND("/",C24,1)-FIND("(",C24)-1)))))</f>
        <v>7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65</v>
      </c>
      <c r="C7" s="17">
        <f>SUM(C2:C5)</f>
        <v>65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1061</v>
      </c>
    </row>
    <row r="20" spans="1:8" x14ac:dyDescent="0.2">
      <c r="C20" s="5" t="s">
        <v>928</v>
      </c>
    </row>
    <row r="21" spans="1:8" x14ac:dyDescent="0.2">
      <c r="C21" s="5" t="s">
        <v>741</v>
      </c>
    </row>
    <row r="22" spans="1:8" x14ac:dyDescent="0.2">
      <c r="C22" s="5" t="s">
        <v>1062</v>
      </c>
    </row>
    <row r="23" spans="1:8" x14ac:dyDescent="0.2">
      <c r="C23" s="5" t="s">
        <v>1063</v>
      </c>
    </row>
    <row r="24" spans="1:8" x14ac:dyDescent="0.2">
      <c r="C24" s="5" t="s">
        <v>1064</v>
      </c>
    </row>
    <row r="25" spans="1:8" x14ac:dyDescent="0.2">
      <c r="B25" s="5" t="s">
        <v>1065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1066</v>
      </c>
    </row>
    <row r="32" spans="1:8" x14ac:dyDescent="0.2">
      <c r="D32" s="5" t="s">
        <v>709</v>
      </c>
    </row>
    <row r="33" spans="2:4" x14ac:dyDescent="0.2">
      <c r="D33" s="5" t="s">
        <v>710</v>
      </c>
    </row>
    <row r="34" spans="2:4" x14ac:dyDescent="0.2">
      <c r="D34" s="5" t="s">
        <v>711</v>
      </c>
    </row>
    <row r="35" spans="2:4" x14ac:dyDescent="0.2">
      <c r="D35" s="5" t="s">
        <v>712</v>
      </c>
    </row>
    <row r="36" spans="2:4" x14ac:dyDescent="0.2">
      <c r="D36" s="5" t="s">
        <v>713</v>
      </c>
    </row>
    <row r="37" spans="2:4" x14ac:dyDescent="0.2">
      <c r="B37" s="5" t="s">
        <v>1067</v>
      </c>
    </row>
    <row r="38" spans="2:4" x14ac:dyDescent="0.2">
      <c r="D38" s="5" t="s">
        <v>709</v>
      </c>
    </row>
    <row r="39" spans="2:4" x14ac:dyDescent="0.2">
      <c r="D39" s="5" t="s">
        <v>710</v>
      </c>
    </row>
    <row r="40" spans="2:4" x14ac:dyDescent="0.2">
      <c r="D40" s="5" t="s">
        <v>711</v>
      </c>
    </row>
    <row r="41" spans="2:4" x14ac:dyDescent="0.2">
      <c r="D41" s="5" t="s">
        <v>712</v>
      </c>
    </row>
    <row r="42" spans="2:4" x14ac:dyDescent="0.2">
      <c r="D42" s="5" t="s">
        <v>713</v>
      </c>
    </row>
    <row r="43" spans="2:4" x14ac:dyDescent="0.2">
      <c r="B43" s="5" t="s">
        <v>1068</v>
      </c>
    </row>
    <row r="44" spans="2:4" x14ac:dyDescent="0.2">
      <c r="D44" s="5" t="s">
        <v>783</v>
      </c>
    </row>
    <row r="45" spans="2:4" x14ac:dyDescent="0.2">
      <c r="D45" s="5" t="s">
        <v>731</v>
      </c>
    </row>
    <row r="46" spans="2:4" x14ac:dyDescent="0.2">
      <c r="D46" s="5" t="s">
        <v>784</v>
      </c>
    </row>
    <row r="47" spans="2:4" x14ac:dyDescent="0.2">
      <c r="D47" s="5" t="s">
        <v>719</v>
      </c>
    </row>
    <row r="48" spans="2:4" x14ac:dyDescent="0.2">
      <c r="D48" s="5" t="s">
        <v>720</v>
      </c>
    </row>
    <row r="49" spans="2:4" x14ac:dyDescent="0.2">
      <c r="B49" s="5" t="s">
        <v>1069</v>
      </c>
    </row>
    <row r="50" spans="2:4" x14ac:dyDescent="0.2">
      <c r="D50" s="5" t="s">
        <v>709</v>
      </c>
    </row>
    <row r="51" spans="2:4" x14ac:dyDescent="0.2">
      <c r="D51" s="5" t="s">
        <v>710</v>
      </c>
    </row>
    <row r="52" spans="2:4" x14ac:dyDescent="0.2">
      <c r="D52" s="5" t="s">
        <v>711</v>
      </c>
    </row>
    <row r="53" spans="2:4" x14ac:dyDescent="0.2">
      <c r="D53" s="5" t="s">
        <v>712</v>
      </c>
    </row>
    <row r="54" spans="2:4" x14ac:dyDescent="0.2">
      <c r="D54" s="5" t="s">
        <v>713</v>
      </c>
    </row>
    <row r="55" spans="2:4" x14ac:dyDescent="0.2">
      <c r="B55" s="5" t="s">
        <v>1070</v>
      </c>
    </row>
    <row r="56" spans="2:4" x14ac:dyDescent="0.2">
      <c r="D56" s="5" t="s">
        <v>912</v>
      </c>
    </row>
    <row r="57" spans="2:4" x14ac:dyDescent="0.2">
      <c r="D57" s="5" t="s">
        <v>704</v>
      </c>
    </row>
    <row r="58" spans="2:4" x14ac:dyDescent="0.2">
      <c r="D58" s="5" t="s">
        <v>1071</v>
      </c>
    </row>
    <row r="59" spans="2:4" x14ac:dyDescent="0.2">
      <c r="D59" s="5" t="s">
        <v>1072</v>
      </c>
    </row>
    <row r="60" spans="2:4" x14ac:dyDescent="0.2">
      <c r="D60" s="5" t="s">
        <v>910</v>
      </c>
    </row>
    <row r="61" spans="2:4" x14ac:dyDescent="0.2">
      <c r="B61" s="5" t="s">
        <v>1073</v>
      </c>
    </row>
    <row r="62" spans="2:4" x14ac:dyDescent="0.2">
      <c r="D62" s="5" t="s">
        <v>709</v>
      </c>
    </row>
    <row r="63" spans="2:4" x14ac:dyDescent="0.2">
      <c r="D63" s="5" t="s">
        <v>710</v>
      </c>
    </row>
    <row r="64" spans="2:4" x14ac:dyDescent="0.2">
      <c r="D64" s="5" t="s">
        <v>711</v>
      </c>
    </row>
    <row r="65" spans="2:4" x14ac:dyDescent="0.2">
      <c r="D65" s="5" t="s">
        <v>712</v>
      </c>
    </row>
    <row r="66" spans="2:4" x14ac:dyDescent="0.2">
      <c r="D66" s="5" t="s">
        <v>713</v>
      </c>
    </row>
    <row r="67" spans="2:4" x14ac:dyDescent="0.2">
      <c r="B67" s="5" t="s">
        <v>1074</v>
      </c>
    </row>
    <row r="68" spans="2:4" x14ac:dyDescent="0.2">
      <c r="D68" s="5" t="s">
        <v>709</v>
      </c>
    </row>
    <row r="69" spans="2:4" x14ac:dyDescent="0.2">
      <c r="D69" s="5" t="s">
        <v>710</v>
      </c>
    </row>
    <row r="70" spans="2:4" x14ac:dyDescent="0.2">
      <c r="D70" s="5" t="s">
        <v>711</v>
      </c>
    </row>
    <row r="71" spans="2:4" x14ac:dyDescent="0.2">
      <c r="D71" s="5" t="s">
        <v>712</v>
      </c>
    </row>
    <row r="72" spans="2:4" x14ac:dyDescent="0.2">
      <c r="D72" s="5" t="s">
        <v>713</v>
      </c>
    </row>
  </sheetData>
  <autoFilter ref="A18:H18"/>
  <conditionalFormatting sqref="C17">
    <cfRule type="cellIs" dxfId="23" priority="1" stopIfTrue="1" operator="equal">
      <formula>$B$10</formula>
    </cfRule>
    <cfRule type="cellIs" dxfId="22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indexed="11"/>
  </sheetPr>
  <dimension ref="A1:H38"/>
  <sheetViews>
    <sheetView workbookViewId="0">
      <selection activeCell="F33" sqref="F33:H37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9</v>
      </c>
      <c r="C2" s="15">
        <f>IF(ISERROR(VALUE(TRIM(CLEAN(MID(C20,FIND("(",C20)+1,FIND("/",C20,1)-FIND("(",C20)-1))))),0,VALUE(TRIM(CLEAN(MID(C20,FIND("(",C20)+1,FIND("/",C20,1)-FIND("(",C20)-1)))))</f>
        <v>8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2</v>
      </c>
      <c r="C3" s="16">
        <f>IF(ISERROR(VALUE(TRIM(CLEAN(MID(C21,FIND("(",C21)+1,FIND("/",C21,1)-FIND("(",C21)-1))))),0,VALUE(TRIM(CLEAN(MID(C21,FIND("(",C21)+1,FIND("/",C21,1)-FIND("(",C21)-1)))))</f>
        <v>2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15</v>
      </c>
      <c r="C4" s="16">
        <f>IF(ISERROR(VALUE(TRIM(CLEAN(MID(C23,FIND("(",C23)+1,FIND("/",C23,1)-FIND("(",C23)-1))))),0,VALUE(TRIM(CLEAN(MID(C23,FIND("(",C23)+1,FIND("/",C23,1)-FIND("(",C23)-1)))))</f>
        <v>14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3</v>
      </c>
      <c r="C5" s="16">
        <f>IF(ISERROR(VALUE(TRIM(CLEAN(MID(C24,FIND("(",C24)+1,FIND("/",C24,1)-FIND("(",C24)-1))))),0,VALUE(TRIM(CLEAN(MID(C24,FIND("(",C24)+1,FIND("/",C24,1)-FIND("(",C24)-1)))))</f>
        <v>3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29</v>
      </c>
      <c r="C7" s="17">
        <f>SUM(C2:C5)</f>
        <v>27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2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2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2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1076</v>
      </c>
    </row>
    <row r="20" spans="1:8" x14ac:dyDescent="0.2">
      <c r="C20" s="5" t="s">
        <v>1077</v>
      </c>
    </row>
    <row r="21" spans="1:8" x14ac:dyDescent="0.2">
      <c r="C21" s="5" t="s">
        <v>768</v>
      </c>
    </row>
    <row r="22" spans="1:8" x14ac:dyDescent="0.2">
      <c r="C22" s="5" t="s">
        <v>1078</v>
      </c>
    </row>
    <row r="23" spans="1:8" x14ac:dyDescent="0.2">
      <c r="C23" s="5" t="s">
        <v>1079</v>
      </c>
    </row>
    <row r="24" spans="1:8" x14ac:dyDescent="0.2">
      <c r="C24" s="5" t="s">
        <v>910</v>
      </c>
    </row>
    <row r="25" spans="1:8" x14ac:dyDescent="0.2">
      <c r="B25" s="5" t="s">
        <v>1080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1081</v>
      </c>
    </row>
    <row r="32" spans="1:8" x14ac:dyDescent="0.2">
      <c r="D32" s="5" t="s">
        <v>1082</v>
      </c>
    </row>
    <row r="33" spans="4:8" x14ac:dyDescent="0.2">
      <c r="E33" s="5" t="s">
        <v>1083</v>
      </c>
      <c r="F33" s="5">
        <v>151</v>
      </c>
      <c r="G33" s="5" t="s">
        <v>19</v>
      </c>
      <c r="H33" s="5" t="s">
        <v>1157</v>
      </c>
    </row>
    <row r="34" spans="4:8" x14ac:dyDescent="0.2">
      <c r="D34" s="5" t="s">
        <v>768</v>
      </c>
    </row>
    <row r="35" spans="4:8" x14ac:dyDescent="0.2">
      <c r="D35" s="5" t="s">
        <v>1084</v>
      </c>
    </row>
    <row r="36" spans="4:8" x14ac:dyDescent="0.2">
      <c r="D36" s="5" t="s">
        <v>1079</v>
      </c>
    </row>
    <row r="37" spans="4:8" x14ac:dyDescent="0.2">
      <c r="E37" s="5" t="s">
        <v>1085</v>
      </c>
      <c r="F37" s="5">
        <v>151</v>
      </c>
      <c r="G37" s="5" t="s">
        <v>19</v>
      </c>
      <c r="H37" s="5" t="s">
        <v>1157</v>
      </c>
    </row>
    <row r="38" spans="4:8" x14ac:dyDescent="0.2">
      <c r="D38" s="5" t="s">
        <v>910</v>
      </c>
    </row>
  </sheetData>
  <autoFilter ref="A18:H18"/>
  <conditionalFormatting sqref="C17">
    <cfRule type="cellIs" dxfId="21" priority="1" stopIfTrue="1" operator="equal">
      <formula>$B$10</formula>
    </cfRule>
    <cfRule type="cellIs" dxfId="20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indexed="11"/>
  </sheetPr>
  <dimension ref="A1:H38"/>
  <sheetViews>
    <sheetView workbookViewId="0">
      <selection activeCell="E34" sqref="E34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31</v>
      </c>
      <c r="C2" s="15">
        <f>IF(ISERROR(VALUE(TRIM(CLEAN(MID(C20,FIND("(",C20)+1,FIND("/",C20,1)-FIND("(",C20)-1))))),0,VALUE(TRIM(CLEAN(MID(C20,FIND("(",C20)+1,FIND("/",C20,1)-FIND("(",C20)-1)))))</f>
        <v>30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4</v>
      </c>
      <c r="C3" s="16">
        <f>IF(ISERROR(VALUE(TRIM(CLEAN(MID(C21,FIND("(",C21)+1,FIND("/",C21,1)-FIND("(",C21)-1))))),0,VALUE(TRIM(CLEAN(MID(C21,FIND("(",C21)+1,FIND("/",C21,1)-FIND("(",C21)-1)))))</f>
        <v>4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45</v>
      </c>
      <c r="C4" s="16">
        <f>IF(ISERROR(VALUE(TRIM(CLEAN(MID(C23,FIND("(",C23)+1,FIND("/",C23,1)-FIND("(",C23)-1))))),0,VALUE(TRIM(CLEAN(MID(C23,FIND("(",C23)+1,FIND("/",C23,1)-FIND("(",C23)-1)))))</f>
        <v>44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9</v>
      </c>
      <c r="C5" s="16">
        <f>IF(ISERROR(VALUE(TRIM(CLEAN(MID(C24,FIND("(",C24)+1,FIND("/",C24,1)-FIND("(",C24)-1))))),0,VALUE(TRIM(CLEAN(MID(C24,FIND("(",C24)+1,FIND("/",C24,1)-FIND("(",C24)-1)))))</f>
        <v>9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89</v>
      </c>
      <c r="C7" s="17">
        <f>SUM(C2:C5)</f>
        <v>87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2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2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2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1087</v>
      </c>
    </row>
    <row r="20" spans="1:8" x14ac:dyDescent="0.2">
      <c r="C20" s="5" t="s">
        <v>1088</v>
      </c>
    </row>
    <row r="21" spans="1:8" x14ac:dyDescent="0.2">
      <c r="C21" s="5" t="s">
        <v>741</v>
      </c>
    </row>
    <row r="22" spans="1:8" x14ac:dyDescent="0.2">
      <c r="C22" s="5" t="s">
        <v>1089</v>
      </c>
    </row>
    <row r="23" spans="1:8" x14ac:dyDescent="0.2">
      <c r="C23" s="5" t="s">
        <v>1090</v>
      </c>
    </row>
    <row r="24" spans="1:8" x14ac:dyDescent="0.2">
      <c r="C24" s="5" t="s">
        <v>1091</v>
      </c>
    </row>
    <row r="25" spans="1:8" x14ac:dyDescent="0.2">
      <c r="B25" s="5" t="s">
        <v>1092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1093</v>
      </c>
    </row>
    <row r="32" spans="1:8" x14ac:dyDescent="0.2">
      <c r="D32" s="5" t="s">
        <v>1094</v>
      </c>
    </row>
    <row r="33" spans="4:8" x14ac:dyDescent="0.2">
      <c r="E33" s="5" t="s">
        <v>1095</v>
      </c>
      <c r="F33" s="5">
        <v>221</v>
      </c>
      <c r="G33" s="5" t="s">
        <v>19</v>
      </c>
      <c r="H33" s="5" t="s">
        <v>1157</v>
      </c>
    </row>
    <row r="34" spans="4:8" x14ac:dyDescent="0.2">
      <c r="D34" s="5" t="s">
        <v>741</v>
      </c>
    </row>
    <row r="35" spans="4:8" x14ac:dyDescent="0.2">
      <c r="D35" s="5" t="s">
        <v>1096</v>
      </c>
    </row>
    <row r="36" spans="4:8" x14ac:dyDescent="0.2">
      <c r="D36" s="5" t="s">
        <v>1090</v>
      </c>
    </row>
    <row r="37" spans="4:8" x14ac:dyDescent="0.2">
      <c r="E37" s="5" t="s">
        <v>1097</v>
      </c>
      <c r="F37" s="5">
        <v>221</v>
      </c>
      <c r="G37" s="5" t="s">
        <v>19</v>
      </c>
      <c r="H37" s="5" t="s">
        <v>1157</v>
      </c>
    </row>
    <row r="38" spans="4:8" x14ac:dyDescent="0.2">
      <c r="D38" s="5" t="s">
        <v>1091</v>
      </c>
    </row>
  </sheetData>
  <autoFilter ref="A18:H18"/>
  <conditionalFormatting sqref="C17">
    <cfRule type="cellIs" dxfId="19" priority="1" stopIfTrue="1" operator="equal">
      <formula>$B$10</formula>
    </cfRule>
    <cfRule type="cellIs" dxfId="18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indexed="11"/>
  </sheetPr>
  <dimension ref="A1:H38"/>
  <sheetViews>
    <sheetView workbookViewId="0">
      <selection activeCell="E32" sqref="E32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9</v>
      </c>
      <c r="C2" s="15">
        <f>IF(ISERROR(VALUE(TRIM(CLEAN(MID(C20,FIND("(",C20)+1,FIND("/",C20,1)-FIND("(",C20)-1))))),0,VALUE(TRIM(CLEAN(MID(C20,FIND("(",C20)+1,FIND("/",C20,1)-FIND("(",C20)-1)))))</f>
        <v>8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2</v>
      </c>
      <c r="C3" s="16">
        <f>IF(ISERROR(VALUE(TRIM(CLEAN(MID(C21,FIND("(",C21)+1,FIND("/",C21,1)-FIND("(",C21)-1))))),0,VALUE(TRIM(CLEAN(MID(C21,FIND("(",C21)+1,FIND("/",C21,1)-FIND("(",C21)-1)))))</f>
        <v>2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15</v>
      </c>
      <c r="C4" s="16">
        <f>IF(ISERROR(VALUE(TRIM(CLEAN(MID(C23,FIND("(",C23)+1,FIND("/",C23,1)-FIND("(",C23)-1))))),0,VALUE(TRIM(CLEAN(MID(C23,FIND("(",C23)+1,FIND("/",C23,1)-FIND("(",C23)-1)))))</f>
        <v>14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3</v>
      </c>
      <c r="C5" s="16">
        <f>IF(ISERROR(VALUE(TRIM(CLEAN(MID(C24,FIND("(",C24)+1,FIND("/",C24,1)-FIND("(",C24)-1))))),0,VALUE(TRIM(CLEAN(MID(C24,FIND("(",C24)+1,FIND("/",C24,1)-FIND("(",C24)-1)))))</f>
        <v>3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29</v>
      </c>
      <c r="C7" s="17">
        <f>SUM(C2:C5)</f>
        <v>27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2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2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2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1099</v>
      </c>
    </row>
    <row r="20" spans="1:8" x14ac:dyDescent="0.2">
      <c r="C20" s="5" t="s">
        <v>1077</v>
      </c>
    </row>
    <row r="21" spans="1:8" x14ac:dyDescent="0.2">
      <c r="C21" s="5" t="s">
        <v>768</v>
      </c>
    </row>
    <row r="22" spans="1:8" x14ac:dyDescent="0.2">
      <c r="C22" s="5" t="s">
        <v>1078</v>
      </c>
    </row>
    <row r="23" spans="1:8" x14ac:dyDescent="0.2">
      <c r="C23" s="5" t="s">
        <v>1079</v>
      </c>
    </row>
    <row r="24" spans="1:8" x14ac:dyDescent="0.2">
      <c r="C24" s="5" t="s">
        <v>910</v>
      </c>
    </row>
    <row r="25" spans="1:8" x14ac:dyDescent="0.2">
      <c r="B25" s="5" t="s">
        <v>1100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1101</v>
      </c>
    </row>
    <row r="32" spans="1:8" x14ac:dyDescent="0.2">
      <c r="D32" s="5" t="s">
        <v>1082</v>
      </c>
    </row>
    <row r="33" spans="4:8" x14ac:dyDescent="0.2">
      <c r="E33" s="5" t="s">
        <v>1102</v>
      </c>
      <c r="F33" s="5">
        <v>137</v>
      </c>
      <c r="G33" s="5" t="s">
        <v>19</v>
      </c>
      <c r="H33" s="5" t="s">
        <v>1157</v>
      </c>
    </row>
    <row r="34" spans="4:8" x14ac:dyDescent="0.2">
      <c r="D34" s="5" t="s">
        <v>768</v>
      </c>
    </row>
    <row r="35" spans="4:8" x14ac:dyDescent="0.2">
      <c r="D35" s="5" t="s">
        <v>1084</v>
      </c>
    </row>
    <row r="36" spans="4:8" x14ac:dyDescent="0.2">
      <c r="D36" s="5" t="s">
        <v>1079</v>
      </c>
    </row>
    <row r="37" spans="4:8" x14ac:dyDescent="0.2">
      <c r="E37" s="5" t="s">
        <v>1103</v>
      </c>
      <c r="F37" s="5">
        <v>137</v>
      </c>
      <c r="G37" s="5" t="s">
        <v>19</v>
      </c>
      <c r="H37" s="5" t="s">
        <v>1157</v>
      </c>
    </row>
    <row r="38" spans="4:8" x14ac:dyDescent="0.2">
      <c r="D38" s="5" t="s">
        <v>910</v>
      </c>
    </row>
  </sheetData>
  <autoFilter ref="A18:H18"/>
  <conditionalFormatting sqref="C17">
    <cfRule type="cellIs" dxfId="17" priority="1" stopIfTrue="1" operator="equal">
      <formula>$B$10</formula>
    </cfRule>
    <cfRule type="cellIs" dxfId="16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indexed="11"/>
  </sheetPr>
  <dimension ref="A1:H48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18</v>
      </c>
      <c r="C2" s="15">
        <f>IF(ISERROR(VALUE(TRIM(CLEAN(MID(C20,FIND("(",C20)+1,FIND("/",C20,1)-FIND("(",C20)-1))))),0,VALUE(TRIM(CLEAN(MID(C20,FIND("(",C20)+1,FIND("/",C20,1)-FIND("(",C20)-1)))))</f>
        <v>18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3</v>
      </c>
      <c r="C3" s="16">
        <f>IF(ISERROR(VALUE(TRIM(CLEAN(MID(C21,FIND("(",C21)+1,FIND("/",C21,1)-FIND("(",C21)-1))))),0,VALUE(TRIM(CLEAN(MID(C21,FIND("(",C21)+1,FIND("/",C21,1)-FIND("(",C21)-1)))))</f>
        <v>3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21</v>
      </c>
      <c r="C4" s="16">
        <f>IF(ISERROR(VALUE(TRIM(CLEAN(MID(C23,FIND("(",C23)+1,FIND("/",C23,1)-FIND("(",C23)-1))))),0,VALUE(TRIM(CLEAN(MID(C23,FIND("(",C23)+1,FIND("/",C23,1)-FIND("(",C23)-1)))))</f>
        <v>21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3</v>
      </c>
      <c r="C5" s="16">
        <f>IF(ISERROR(VALUE(TRIM(CLEAN(MID(C24,FIND("(",C24)+1,FIND("/",C24,1)-FIND("(",C24)-1))))),0,VALUE(TRIM(CLEAN(MID(C24,FIND("(",C24)+1,FIND("/",C24,1)-FIND("(",C24)-1)))))</f>
        <v>3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45</v>
      </c>
      <c r="C7" s="17">
        <f>SUM(C2:C5)</f>
        <v>45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1105</v>
      </c>
    </row>
    <row r="20" spans="1:8" x14ac:dyDescent="0.2">
      <c r="C20" s="5" t="s">
        <v>1106</v>
      </c>
    </row>
    <row r="21" spans="1:8" x14ac:dyDescent="0.2">
      <c r="C21" s="5" t="s">
        <v>704</v>
      </c>
    </row>
    <row r="22" spans="1:8" x14ac:dyDescent="0.2">
      <c r="C22" s="5" t="s">
        <v>828</v>
      </c>
    </row>
    <row r="23" spans="1:8" x14ac:dyDescent="0.2">
      <c r="C23" s="5" t="s">
        <v>1072</v>
      </c>
    </row>
    <row r="24" spans="1:8" x14ac:dyDescent="0.2">
      <c r="C24" s="5" t="s">
        <v>910</v>
      </c>
    </row>
    <row r="25" spans="1:8" x14ac:dyDescent="0.2">
      <c r="B25" s="5" t="s">
        <v>1107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1108</v>
      </c>
    </row>
    <row r="32" spans="1:8" x14ac:dyDescent="0.2">
      <c r="D32" s="5" t="s">
        <v>912</v>
      </c>
    </row>
    <row r="33" spans="2:4" x14ac:dyDescent="0.2">
      <c r="D33" s="5" t="s">
        <v>704</v>
      </c>
    </row>
    <row r="34" spans="2:4" x14ac:dyDescent="0.2">
      <c r="D34" s="5" t="s">
        <v>1071</v>
      </c>
    </row>
    <row r="35" spans="2:4" x14ac:dyDescent="0.2">
      <c r="D35" s="5" t="s">
        <v>1072</v>
      </c>
    </row>
    <row r="36" spans="2:4" x14ac:dyDescent="0.2">
      <c r="D36" s="5" t="s">
        <v>910</v>
      </c>
    </row>
    <row r="37" spans="2:4" x14ac:dyDescent="0.2">
      <c r="B37" s="5" t="s">
        <v>1109</v>
      </c>
    </row>
    <row r="38" spans="2:4" x14ac:dyDescent="0.2">
      <c r="D38" s="5" t="s">
        <v>709</v>
      </c>
    </row>
    <row r="39" spans="2:4" x14ac:dyDescent="0.2">
      <c r="D39" s="5" t="s">
        <v>710</v>
      </c>
    </row>
    <row r="40" spans="2:4" x14ac:dyDescent="0.2">
      <c r="D40" s="5" t="s">
        <v>711</v>
      </c>
    </row>
    <row r="41" spans="2:4" x14ac:dyDescent="0.2">
      <c r="D41" s="5" t="s">
        <v>712</v>
      </c>
    </row>
    <row r="42" spans="2:4" x14ac:dyDescent="0.2">
      <c r="D42" s="5" t="s">
        <v>713</v>
      </c>
    </row>
    <row r="43" spans="2:4" x14ac:dyDescent="0.2">
      <c r="B43" s="5" t="s">
        <v>1110</v>
      </c>
    </row>
    <row r="44" spans="2:4" x14ac:dyDescent="0.2">
      <c r="D44" s="5" t="s">
        <v>709</v>
      </c>
    </row>
    <row r="45" spans="2:4" x14ac:dyDescent="0.2">
      <c r="D45" s="5" t="s">
        <v>710</v>
      </c>
    </row>
    <row r="46" spans="2:4" x14ac:dyDescent="0.2">
      <c r="D46" s="5" t="s">
        <v>711</v>
      </c>
    </row>
    <row r="47" spans="2:4" x14ac:dyDescent="0.2">
      <c r="D47" s="5" t="s">
        <v>712</v>
      </c>
    </row>
    <row r="48" spans="2:4" x14ac:dyDescent="0.2">
      <c r="D48" s="5" t="s">
        <v>713</v>
      </c>
    </row>
  </sheetData>
  <autoFilter ref="A18:H18"/>
  <conditionalFormatting sqref="C17">
    <cfRule type="cellIs" dxfId="15" priority="1" stopIfTrue="1" operator="equal">
      <formula>$B$10</formula>
    </cfRule>
    <cfRule type="cellIs" dxfId="14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indexed="11"/>
  </sheetPr>
  <dimension ref="A1:H38"/>
  <sheetViews>
    <sheetView workbookViewId="0">
      <selection activeCell="F33" sqref="F33:H37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9</v>
      </c>
      <c r="C2" s="15">
        <f>IF(ISERROR(VALUE(TRIM(CLEAN(MID(C20,FIND("(",C20)+1,FIND("/",C20,1)-FIND("(",C20)-1))))),0,VALUE(TRIM(CLEAN(MID(C20,FIND("(",C20)+1,FIND("/",C20,1)-FIND("(",C20)-1)))))</f>
        <v>8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2</v>
      </c>
      <c r="C3" s="16">
        <f>IF(ISERROR(VALUE(TRIM(CLEAN(MID(C21,FIND("(",C21)+1,FIND("/",C21,1)-FIND("(",C21)-1))))),0,VALUE(TRIM(CLEAN(MID(C21,FIND("(",C21)+1,FIND("/",C21,1)-FIND("(",C21)-1)))))</f>
        <v>2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15</v>
      </c>
      <c r="C4" s="16">
        <f>IF(ISERROR(VALUE(TRIM(CLEAN(MID(C23,FIND("(",C23)+1,FIND("/",C23,1)-FIND("(",C23)-1))))),0,VALUE(TRIM(CLEAN(MID(C23,FIND("(",C23)+1,FIND("/",C23,1)-FIND("(",C23)-1)))))</f>
        <v>14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3</v>
      </c>
      <c r="C5" s="16">
        <f>IF(ISERROR(VALUE(TRIM(CLEAN(MID(C24,FIND("(",C24)+1,FIND("/",C24,1)-FIND("(",C24)-1))))),0,VALUE(TRIM(CLEAN(MID(C24,FIND("(",C24)+1,FIND("/",C24,1)-FIND("(",C24)-1)))))</f>
        <v>3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29</v>
      </c>
      <c r="C7" s="17">
        <f>SUM(C2:C5)</f>
        <v>27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2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2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2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1112</v>
      </c>
    </row>
    <row r="20" spans="1:8" x14ac:dyDescent="0.2">
      <c r="C20" s="5" t="s">
        <v>1077</v>
      </c>
    </row>
    <row r="21" spans="1:8" x14ac:dyDescent="0.2">
      <c r="C21" s="5" t="s">
        <v>768</v>
      </c>
    </row>
    <row r="22" spans="1:8" x14ac:dyDescent="0.2">
      <c r="C22" s="5" t="s">
        <v>1078</v>
      </c>
    </row>
    <row r="23" spans="1:8" x14ac:dyDescent="0.2">
      <c r="C23" s="5" t="s">
        <v>1079</v>
      </c>
    </row>
    <row r="24" spans="1:8" x14ac:dyDescent="0.2">
      <c r="C24" s="5" t="s">
        <v>910</v>
      </c>
    </row>
    <row r="25" spans="1:8" x14ac:dyDescent="0.2">
      <c r="B25" s="5" t="s">
        <v>1113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1114</v>
      </c>
    </row>
    <row r="32" spans="1:8" x14ac:dyDescent="0.2">
      <c r="D32" s="5" t="s">
        <v>1082</v>
      </c>
    </row>
    <row r="33" spans="4:8" x14ac:dyDescent="0.2">
      <c r="E33" s="5" t="s">
        <v>1102</v>
      </c>
      <c r="F33" s="5">
        <v>137</v>
      </c>
      <c r="G33" s="5" t="s">
        <v>19</v>
      </c>
      <c r="H33" s="5" t="s">
        <v>1157</v>
      </c>
    </row>
    <row r="34" spans="4:8" x14ac:dyDescent="0.2">
      <c r="D34" s="5" t="s">
        <v>768</v>
      </c>
    </row>
    <row r="35" spans="4:8" x14ac:dyDescent="0.2">
      <c r="D35" s="5" t="s">
        <v>1084</v>
      </c>
    </row>
    <row r="36" spans="4:8" x14ac:dyDescent="0.2">
      <c r="D36" s="5" t="s">
        <v>1079</v>
      </c>
    </row>
    <row r="37" spans="4:8" x14ac:dyDescent="0.2">
      <c r="E37" s="5" t="s">
        <v>1103</v>
      </c>
      <c r="F37" s="5">
        <v>137</v>
      </c>
      <c r="G37" s="5" t="s">
        <v>19</v>
      </c>
      <c r="H37" s="5" t="s">
        <v>1157</v>
      </c>
    </row>
    <row r="38" spans="4:8" x14ac:dyDescent="0.2">
      <c r="D38" s="5" t="s">
        <v>910</v>
      </c>
    </row>
  </sheetData>
  <autoFilter ref="A18:H18"/>
  <conditionalFormatting sqref="C17">
    <cfRule type="cellIs" dxfId="13" priority="1" stopIfTrue="1" operator="equal">
      <formula>$B$10</formula>
    </cfRule>
    <cfRule type="cellIs" dxfId="12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indexed="11"/>
  </sheetPr>
  <dimension ref="A1:H38"/>
  <sheetViews>
    <sheetView workbookViewId="0">
      <selection activeCell="F33" sqref="F33:H37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31</v>
      </c>
      <c r="C2" s="15">
        <f>IF(ISERROR(VALUE(TRIM(CLEAN(MID(C20,FIND("(",C20)+1,FIND("/",C20,1)-FIND("(",C20)-1))))),0,VALUE(TRIM(CLEAN(MID(C20,FIND("(",C20)+1,FIND("/",C20,1)-FIND("(",C20)-1)))))</f>
        <v>30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4</v>
      </c>
      <c r="C3" s="16">
        <f>IF(ISERROR(VALUE(TRIM(CLEAN(MID(C21,FIND("(",C21)+1,FIND("/",C21,1)-FIND("(",C21)-1))))),0,VALUE(TRIM(CLEAN(MID(C21,FIND("(",C21)+1,FIND("/",C21,1)-FIND("(",C21)-1)))))</f>
        <v>4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45</v>
      </c>
      <c r="C4" s="16">
        <f>IF(ISERROR(VALUE(TRIM(CLEAN(MID(C23,FIND("(",C23)+1,FIND("/",C23,1)-FIND("(",C23)-1))))),0,VALUE(TRIM(CLEAN(MID(C23,FIND("(",C23)+1,FIND("/",C23,1)-FIND("(",C23)-1)))))</f>
        <v>44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9</v>
      </c>
      <c r="C5" s="16">
        <f>IF(ISERROR(VALUE(TRIM(CLEAN(MID(C24,FIND("(",C24)+1,FIND("/",C24,1)-FIND("(",C24)-1))))),0,VALUE(TRIM(CLEAN(MID(C24,FIND("(",C24)+1,FIND("/",C24,1)-FIND("(",C24)-1)))))</f>
        <v>9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89</v>
      </c>
      <c r="C7" s="17">
        <f>SUM(C2:C5)</f>
        <v>87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2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2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2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1116</v>
      </c>
    </row>
    <row r="20" spans="1:8" x14ac:dyDescent="0.2">
      <c r="C20" s="5" t="s">
        <v>1088</v>
      </c>
    </row>
    <row r="21" spans="1:8" x14ac:dyDescent="0.2">
      <c r="C21" s="5" t="s">
        <v>741</v>
      </c>
    </row>
    <row r="22" spans="1:8" x14ac:dyDescent="0.2">
      <c r="C22" s="5" t="s">
        <v>1089</v>
      </c>
    </row>
    <row r="23" spans="1:8" x14ac:dyDescent="0.2">
      <c r="C23" s="5" t="s">
        <v>1090</v>
      </c>
    </row>
    <row r="24" spans="1:8" x14ac:dyDescent="0.2">
      <c r="C24" s="5" t="s">
        <v>1091</v>
      </c>
    </row>
    <row r="25" spans="1:8" x14ac:dyDescent="0.2">
      <c r="B25" s="5" t="s">
        <v>1117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1118</v>
      </c>
    </row>
    <row r="32" spans="1:8" x14ac:dyDescent="0.2">
      <c r="D32" s="5" t="s">
        <v>1094</v>
      </c>
    </row>
    <row r="33" spans="4:8" x14ac:dyDescent="0.2">
      <c r="E33" s="5" t="s">
        <v>1119</v>
      </c>
      <c r="F33" s="5">
        <v>225</v>
      </c>
      <c r="G33" s="5" t="s">
        <v>19</v>
      </c>
      <c r="H33" s="5" t="s">
        <v>1157</v>
      </c>
    </row>
    <row r="34" spans="4:8" x14ac:dyDescent="0.2">
      <c r="D34" s="5" t="s">
        <v>741</v>
      </c>
    </row>
    <row r="35" spans="4:8" x14ac:dyDescent="0.2">
      <c r="D35" s="5" t="s">
        <v>1096</v>
      </c>
    </row>
    <row r="36" spans="4:8" x14ac:dyDescent="0.2">
      <c r="D36" s="5" t="s">
        <v>1090</v>
      </c>
    </row>
    <row r="37" spans="4:8" x14ac:dyDescent="0.2">
      <c r="E37" s="5" t="s">
        <v>1120</v>
      </c>
      <c r="F37" s="5">
        <v>225</v>
      </c>
      <c r="G37" s="5" t="s">
        <v>19</v>
      </c>
      <c r="H37" s="5" t="s">
        <v>1157</v>
      </c>
    </row>
    <row r="38" spans="4:8" x14ac:dyDescent="0.2">
      <c r="D38" s="5" t="s">
        <v>1091</v>
      </c>
    </row>
  </sheetData>
  <autoFilter ref="A18:H18"/>
  <conditionalFormatting sqref="C17">
    <cfRule type="cellIs" dxfId="11" priority="1" stopIfTrue="1" operator="equal">
      <formula>$B$10</formula>
    </cfRule>
    <cfRule type="cellIs" dxfId="10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indexed="11"/>
  </sheetPr>
  <dimension ref="A1:H48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14</v>
      </c>
      <c r="C2" s="15">
        <f>IF(ISERROR(VALUE(TRIM(CLEAN(MID(C20,FIND("(",C20)+1,FIND("/",C20,1)-FIND("(",C20)-1))))),0,VALUE(TRIM(CLEAN(MID(C20,FIND("(",C20)+1,FIND("/",C20,1)-FIND("(",C20)-1)))))</f>
        <v>14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2</v>
      </c>
      <c r="C3" s="16">
        <f>IF(ISERROR(VALUE(TRIM(CLEAN(MID(C21,FIND("(",C21)+1,FIND("/",C21,1)-FIND("(",C21)-1))))),0,VALUE(TRIM(CLEAN(MID(C21,FIND("(",C21)+1,FIND("/",C21,1)-FIND("(",C21)-1)))))</f>
        <v>2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16</v>
      </c>
      <c r="C4" s="16">
        <f>IF(ISERROR(VALUE(TRIM(CLEAN(MID(C23,FIND("(",C23)+1,FIND("/",C23,1)-FIND("(",C23)-1))))),0,VALUE(TRIM(CLEAN(MID(C23,FIND("(",C23)+1,FIND("/",C23,1)-FIND("(",C23)-1)))))</f>
        <v>16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3</v>
      </c>
      <c r="C5" s="16">
        <f>IF(ISERROR(VALUE(TRIM(CLEAN(MID(C24,FIND("(",C24)+1,FIND("/",C24,1)-FIND("(",C24)-1))))),0,VALUE(TRIM(CLEAN(MID(C24,FIND("(",C24)+1,FIND("/",C24,1)-FIND("(",C24)-1)))))</f>
        <v>3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35</v>
      </c>
      <c r="C7" s="17">
        <f>SUM(C2:C5)</f>
        <v>35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1122</v>
      </c>
    </row>
    <row r="20" spans="1:8" x14ac:dyDescent="0.2">
      <c r="C20" s="5" t="s">
        <v>920</v>
      </c>
    </row>
    <row r="21" spans="1:8" x14ac:dyDescent="0.2">
      <c r="C21" s="5" t="s">
        <v>768</v>
      </c>
    </row>
    <row r="22" spans="1:8" x14ac:dyDescent="0.2">
      <c r="C22" s="5" t="s">
        <v>1044</v>
      </c>
    </row>
    <row r="23" spans="1:8" x14ac:dyDescent="0.2">
      <c r="C23" s="5" t="s">
        <v>989</v>
      </c>
    </row>
    <row r="24" spans="1:8" x14ac:dyDescent="0.2">
      <c r="C24" s="5" t="s">
        <v>910</v>
      </c>
    </row>
    <row r="25" spans="1:8" x14ac:dyDescent="0.2">
      <c r="B25" s="5" t="s">
        <v>1123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1124</v>
      </c>
    </row>
    <row r="32" spans="1:8" x14ac:dyDescent="0.2">
      <c r="D32" s="5" t="s">
        <v>1125</v>
      </c>
    </row>
    <row r="33" spans="2:4" x14ac:dyDescent="0.2">
      <c r="D33" s="5" t="s">
        <v>768</v>
      </c>
    </row>
    <row r="34" spans="2:4" x14ac:dyDescent="0.2">
      <c r="D34" s="5" t="s">
        <v>1126</v>
      </c>
    </row>
    <row r="35" spans="2:4" x14ac:dyDescent="0.2">
      <c r="D35" s="5" t="s">
        <v>989</v>
      </c>
    </row>
    <row r="36" spans="2:4" x14ac:dyDescent="0.2">
      <c r="D36" s="5" t="s">
        <v>910</v>
      </c>
    </row>
    <row r="37" spans="2:4" x14ac:dyDescent="0.2">
      <c r="B37" s="5" t="s">
        <v>1127</v>
      </c>
    </row>
    <row r="38" spans="2:4" x14ac:dyDescent="0.2">
      <c r="D38" s="5" t="s">
        <v>709</v>
      </c>
    </row>
    <row r="39" spans="2:4" x14ac:dyDescent="0.2">
      <c r="D39" s="5" t="s">
        <v>710</v>
      </c>
    </row>
    <row r="40" spans="2:4" x14ac:dyDescent="0.2">
      <c r="D40" s="5" t="s">
        <v>711</v>
      </c>
    </row>
    <row r="41" spans="2:4" x14ac:dyDescent="0.2">
      <c r="D41" s="5" t="s">
        <v>712</v>
      </c>
    </row>
    <row r="42" spans="2:4" x14ac:dyDescent="0.2">
      <c r="D42" s="5" t="s">
        <v>713</v>
      </c>
    </row>
    <row r="43" spans="2:4" x14ac:dyDescent="0.2">
      <c r="B43" s="5" t="s">
        <v>1128</v>
      </c>
    </row>
    <row r="44" spans="2:4" x14ac:dyDescent="0.2">
      <c r="D44" s="5" t="s">
        <v>709</v>
      </c>
    </row>
    <row r="45" spans="2:4" x14ac:dyDescent="0.2">
      <c r="D45" s="5" t="s">
        <v>710</v>
      </c>
    </row>
    <row r="46" spans="2:4" x14ac:dyDescent="0.2">
      <c r="D46" s="5" t="s">
        <v>711</v>
      </c>
    </row>
    <row r="47" spans="2:4" x14ac:dyDescent="0.2">
      <c r="D47" s="5" t="s">
        <v>712</v>
      </c>
    </row>
    <row r="48" spans="2:4" x14ac:dyDescent="0.2">
      <c r="D48" s="5" t="s">
        <v>713</v>
      </c>
    </row>
  </sheetData>
  <autoFilter ref="A18:H18"/>
  <conditionalFormatting sqref="C17">
    <cfRule type="cellIs" dxfId="9" priority="1" stopIfTrue="1" operator="equal">
      <formula>$B$10</formula>
    </cfRule>
    <cfRule type="cellIs" dxfId="8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indexed="11"/>
  </sheetPr>
  <dimension ref="A1:H38"/>
  <sheetViews>
    <sheetView workbookViewId="0">
      <selection activeCell="F33" sqref="F33:H37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31</v>
      </c>
      <c r="C2" s="15">
        <f>IF(ISERROR(VALUE(TRIM(CLEAN(MID(C20,FIND("(",C20)+1,FIND("/",C20,1)-FIND("(",C20)-1))))),0,VALUE(TRIM(CLEAN(MID(C20,FIND("(",C20)+1,FIND("/",C20,1)-FIND("(",C20)-1)))))</f>
        <v>30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4</v>
      </c>
      <c r="C3" s="16">
        <f>IF(ISERROR(VALUE(TRIM(CLEAN(MID(C21,FIND("(",C21)+1,FIND("/",C21,1)-FIND("(",C21)-1))))),0,VALUE(TRIM(CLEAN(MID(C21,FIND("(",C21)+1,FIND("/",C21,1)-FIND("(",C21)-1)))))</f>
        <v>4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45</v>
      </c>
      <c r="C4" s="16">
        <f>IF(ISERROR(VALUE(TRIM(CLEAN(MID(C23,FIND("(",C23)+1,FIND("/",C23,1)-FIND("(",C23)-1))))),0,VALUE(TRIM(CLEAN(MID(C23,FIND("(",C23)+1,FIND("/",C23,1)-FIND("(",C23)-1)))))</f>
        <v>44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9</v>
      </c>
      <c r="C5" s="16">
        <f>IF(ISERROR(VALUE(TRIM(CLEAN(MID(C24,FIND("(",C24)+1,FIND("/",C24,1)-FIND("(",C24)-1))))),0,VALUE(TRIM(CLEAN(MID(C24,FIND("(",C24)+1,FIND("/",C24,1)-FIND("(",C24)-1)))))</f>
        <v>9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89</v>
      </c>
      <c r="C7" s="17">
        <f>SUM(C2:C5)</f>
        <v>87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2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2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2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1130</v>
      </c>
    </row>
    <row r="20" spans="1:8" x14ac:dyDescent="0.2">
      <c r="C20" s="5" t="s">
        <v>1088</v>
      </c>
    </row>
    <row r="21" spans="1:8" x14ac:dyDescent="0.2">
      <c r="C21" s="5" t="s">
        <v>741</v>
      </c>
    </row>
    <row r="22" spans="1:8" x14ac:dyDescent="0.2">
      <c r="C22" s="5" t="s">
        <v>1089</v>
      </c>
    </row>
    <row r="23" spans="1:8" x14ac:dyDescent="0.2">
      <c r="C23" s="5" t="s">
        <v>1090</v>
      </c>
    </row>
    <row r="24" spans="1:8" x14ac:dyDescent="0.2">
      <c r="C24" s="5" t="s">
        <v>1091</v>
      </c>
    </row>
    <row r="25" spans="1:8" x14ac:dyDescent="0.2">
      <c r="B25" s="5" t="s">
        <v>1131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1132</v>
      </c>
    </row>
    <row r="32" spans="1:8" x14ac:dyDescent="0.2">
      <c r="D32" s="5" t="s">
        <v>1094</v>
      </c>
    </row>
    <row r="33" spans="4:8" x14ac:dyDescent="0.2">
      <c r="E33" s="5" t="s">
        <v>1119</v>
      </c>
      <c r="F33" s="5">
        <v>225</v>
      </c>
      <c r="G33" s="5" t="s">
        <v>19</v>
      </c>
      <c r="H33" s="5" t="s">
        <v>1157</v>
      </c>
    </row>
    <row r="34" spans="4:8" x14ac:dyDescent="0.2">
      <c r="D34" s="5" t="s">
        <v>741</v>
      </c>
    </row>
    <row r="35" spans="4:8" x14ac:dyDescent="0.2">
      <c r="D35" s="5" t="s">
        <v>1096</v>
      </c>
    </row>
    <row r="36" spans="4:8" x14ac:dyDescent="0.2">
      <c r="D36" s="5" t="s">
        <v>1090</v>
      </c>
    </row>
    <row r="37" spans="4:8" x14ac:dyDescent="0.2">
      <c r="E37" s="5" t="s">
        <v>1120</v>
      </c>
      <c r="F37" s="5">
        <v>225</v>
      </c>
      <c r="G37" s="5" t="s">
        <v>19</v>
      </c>
      <c r="H37" s="5" t="s">
        <v>1157</v>
      </c>
    </row>
    <row r="38" spans="4:8" x14ac:dyDescent="0.2">
      <c r="D38" s="5" t="s">
        <v>1091</v>
      </c>
    </row>
  </sheetData>
  <autoFilter ref="A18:H18"/>
  <conditionalFormatting sqref="C17">
    <cfRule type="cellIs" dxfId="7" priority="1" stopIfTrue="1" operator="equal">
      <formula>$B$10</formula>
    </cfRule>
    <cfRule type="cellIs" dxfId="6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indexed="11"/>
  </sheetPr>
  <dimension ref="A1:H48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14</v>
      </c>
      <c r="C2" s="15">
        <f>IF(ISERROR(VALUE(TRIM(CLEAN(MID(C20,FIND("(",C20)+1,FIND("/",C20,1)-FIND("(",C20)-1))))),0,VALUE(TRIM(CLEAN(MID(C20,FIND("(",C20)+1,FIND("/",C20,1)-FIND("(",C20)-1)))))</f>
        <v>14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2</v>
      </c>
      <c r="C3" s="16">
        <f>IF(ISERROR(VALUE(TRIM(CLEAN(MID(C21,FIND("(",C21)+1,FIND("/",C21,1)-FIND("(",C21)-1))))),0,VALUE(TRIM(CLEAN(MID(C21,FIND("(",C21)+1,FIND("/",C21,1)-FIND("(",C21)-1)))))</f>
        <v>2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16</v>
      </c>
      <c r="C4" s="16">
        <f>IF(ISERROR(VALUE(TRIM(CLEAN(MID(C23,FIND("(",C23)+1,FIND("/",C23,1)-FIND("(",C23)-1))))),0,VALUE(TRIM(CLEAN(MID(C23,FIND("(",C23)+1,FIND("/",C23,1)-FIND("(",C23)-1)))))</f>
        <v>16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3</v>
      </c>
      <c r="C5" s="16">
        <f>IF(ISERROR(VALUE(TRIM(CLEAN(MID(C24,FIND("(",C24)+1,FIND("/",C24,1)-FIND("(",C24)-1))))),0,VALUE(TRIM(CLEAN(MID(C24,FIND("(",C24)+1,FIND("/",C24,1)-FIND("(",C24)-1)))))</f>
        <v>3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35</v>
      </c>
      <c r="C7" s="17">
        <f>SUM(C2:C5)</f>
        <v>35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1134</v>
      </c>
    </row>
    <row r="20" spans="1:8" x14ac:dyDescent="0.2">
      <c r="C20" s="5" t="s">
        <v>920</v>
      </c>
    </row>
    <row r="21" spans="1:8" x14ac:dyDescent="0.2">
      <c r="C21" s="5" t="s">
        <v>768</v>
      </c>
    </row>
    <row r="22" spans="1:8" x14ac:dyDescent="0.2">
      <c r="C22" s="5" t="s">
        <v>1044</v>
      </c>
    </row>
    <row r="23" spans="1:8" x14ac:dyDescent="0.2">
      <c r="C23" s="5" t="s">
        <v>989</v>
      </c>
    </row>
    <row r="24" spans="1:8" x14ac:dyDescent="0.2">
      <c r="C24" s="5" t="s">
        <v>910</v>
      </c>
    </row>
    <row r="25" spans="1:8" x14ac:dyDescent="0.2">
      <c r="B25" s="5" t="s">
        <v>1135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1136</v>
      </c>
    </row>
    <row r="32" spans="1:8" x14ac:dyDescent="0.2">
      <c r="D32" s="5" t="s">
        <v>1125</v>
      </c>
    </row>
    <row r="33" spans="2:4" x14ac:dyDescent="0.2">
      <c r="D33" s="5" t="s">
        <v>768</v>
      </c>
    </row>
    <row r="34" spans="2:4" x14ac:dyDescent="0.2">
      <c r="D34" s="5" t="s">
        <v>1126</v>
      </c>
    </row>
    <row r="35" spans="2:4" x14ac:dyDescent="0.2">
      <c r="D35" s="5" t="s">
        <v>989</v>
      </c>
    </row>
    <row r="36" spans="2:4" x14ac:dyDescent="0.2">
      <c r="D36" s="5" t="s">
        <v>910</v>
      </c>
    </row>
    <row r="37" spans="2:4" x14ac:dyDescent="0.2">
      <c r="B37" s="5" t="s">
        <v>1137</v>
      </c>
    </row>
    <row r="38" spans="2:4" x14ac:dyDescent="0.2">
      <c r="D38" s="5" t="s">
        <v>709</v>
      </c>
    </row>
    <row r="39" spans="2:4" x14ac:dyDescent="0.2">
      <c r="D39" s="5" t="s">
        <v>710</v>
      </c>
    </row>
    <row r="40" spans="2:4" x14ac:dyDescent="0.2">
      <c r="D40" s="5" t="s">
        <v>711</v>
      </c>
    </row>
    <row r="41" spans="2:4" x14ac:dyDescent="0.2">
      <c r="D41" s="5" t="s">
        <v>712</v>
      </c>
    </row>
    <row r="42" spans="2:4" x14ac:dyDescent="0.2">
      <c r="D42" s="5" t="s">
        <v>713</v>
      </c>
    </row>
    <row r="43" spans="2:4" x14ac:dyDescent="0.2">
      <c r="B43" s="5" t="s">
        <v>1138</v>
      </c>
    </row>
    <row r="44" spans="2:4" x14ac:dyDescent="0.2">
      <c r="D44" s="5" t="s">
        <v>709</v>
      </c>
    </row>
    <row r="45" spans="2:4" x14ac:dyDescent="0.2">
      <c r="D45" s="5" t="s">
        <v>710</v>
      </c>
    </row>
    <row r="46" spans="2:4" x14ac:dyDescent="0.2">
      <c r="D46" s="5" t="s">
        <v>711</v>
      </c>
    </row>
    <row r="47" spans="2:4" x14ac:dyDescent="0.2">
      <c r="D47" s="5" t="s">
        <v>712</v>
      </c>
    </row>
    <row r="48" spans="2:4" x14ac:dyDescent="0.2">
      <c r="D48" s="5" t="s">
        <v>713</v>
      </c>
    </row>
  </sheetData>
  <autoFilter ref="A18:H18"/>
  <conditionalFormatting sqref="C17">
    <cfRule type="cellIs" dxfId="5" priority="1" stopIfTrue="1" operator="equal">
      <formula>$B$10</formula>
    </cfRule>
    <cfRule type="cellIs" dxfId="4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indexed="11"/>
  </sheetPr>
  <dimension ref="A1:H40"/>
  <sheetViews>
    <sheetView workbookViewId="0">
      <selection activeCell="E3" sqref="E3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13</v>
      </c>
      <c r="C2" s="15">
        <f>IF(ISERROR(VALUE(TRIM(CLEAN(MID(C20,FIND("(",C20)+1,FIND("/",C20,1)-FIND("(",C20)-1))))),0,VALUE(TRIM(CLEAN(MID(C20,FIND("(",C20)+1,FIND("/",C20,1)-FIND("(",C20)-1)))))</f>
        <v>11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3</v>
      </c>
      <c r="C3" s="16">
        <f>IF(ISERROR(VALUE(TRIM(CLEAN(MID(C21,FIND("(",C21)+1,FIND("/",C21,1)-FIND("(",C21)-1))))),0,VALUE(TRIM(CLEAN(MID(C21,FIND("(",C21)+1,FIND("/",C21,1)-FIND("(",C21)-1)))))</f>
        <v>3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20</v>
      </c>
      <c r="C4" s="16">
        <f>IF(ISERROR(VALUE(TRIM(CLEAN(MID(C23,FIND("(",C23)+1,FIND("/",C23,1)-FIND("(",C23)-1))))),0,VALUE(TRIM(CLEAN(MID(C23,FIND("(",C23)+1,FIND("/",C23,1)-FIND("(",C23)-1)))))</f>
        <v>18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3</v>
      </c>
      <c r="C5" s="16">
        <f>IF(ISERROR(VALUE(TRIM(CLEAN(MID(C24,FIND("(",C24)+1,FIND("/",C24,1)-FIND("(",C24)-1))))),0,VALUE(TRIM(CLEAN(MID(C24,FIND("(",C24)+1,FIND("/",C24,1)-FIND("(",C24)-1)))))</f>
        <v>3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39</v>
      </c>
      <c r="C7" s="17">
        <f>SUM(C2:C5)</f>
        <v>35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4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4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4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1140</v>
      </c>
    </row>
    <row r="20" spans="1:8" x14ac:dyDescent="0.2">
      <c r="C20" s="5" t="s">
        <v>1141</v>
      </c>
    </row>
    <row r="21" spans="1:8" x14ac:dyDescent="0.2">
      <c r="C21" s="5" t="s">
        <v>704</v>
      </c>
    </row>
    <row r="22" spans="1:8" x14ac:dyDescent="0.2">
      <c r="C22" s="5" t="s">
        <v>1142</v>
      </c>
    </row>
    <row r="23" spans="1:8" x14ac:dyDescent="0.2">
      <c r="C23" s="5" t="s">
        <v>1143</v>
      </c>
    </row>
    <row r="24" spans="1:8" x14ac:dyDescent="0.2">
      <c r="C24" s="5" t="s">
        <v>910</v>
      </c>
    </row>
    <row r="25" spans="1:8" x14ac:dyDescent="0.2">
      <c r="B25" s="5" t="s">
        <v>1144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1145</v>
      </c>
    </row>
    <row r="32" spans="1:8" x14ac:dyDescent="0.2">
      <c r="D32" s="5" t="s">
        <v>1146</v>
      </c>
    </row>
    <row r="33" spans="4:8" x14ac:dyDescent="0.2">
      <c r="E33" s="5" t="s">
        <v>1147</v>
      </c>
      <c r="F33" s="5">
        <v>163</v>
      </c>
      <c r="G33" s="5" t="s">
        <v>19</v>
      </c>
      <c r="H33" s="5" t="s">
        <v>1157</v>
      </c>
    </row>
    <row r="34" spans="4:8" x14ac:dyDescent="0.2">
      <c r="E34" s="5" t="s">
        <v>1148</v>
      </c>
      <c r="F34" s="5">
        <v>173</v>
      </c>
      <c r="G34" s="5" t="s">
        <v>19</v>
      </c>
      <c r="H34" s="5" t="s">
        <v>1157</v>
      </c>
    </row>
    <row r="35" spans="4:8" x14ac:dyDescent="0.2">
      <c r="D35" s="5" t="s">
        <v>704</v>
      </c>
    </row>
    <row r="36" spans="4:8" x14ac:dyDescent="0.2">
      <c r="D36" s="5" t="s">
        <v>762</v>
      </c>
    </row>
    <row r="37" spans="4:8" x14ac:dyDescent="0.2">
      <c r="D37" s="5" t="s">
        <v>1143</v>
      </c>
    </row>
    <row r="38" spans="4:8" x14ac:dyDescent="0.2">
      <c r="E38" s="5" t="s">
        <v>1149</v>
      </c>
      <c r="F38" s="5">
        <v>163</v>
      </c>
      <c r="G38" s="5" t="s">
        <v>19</v>
      </c>
      <c r="H38" s="5" t="s">
        <v>1157</v>
      </c>
    </row>
    <row r="39" spans="4:8" x14ac:dyDescent="0.2">
      <c r="E39" s="5" t="s">
        <v>1150</v>
      </c>
      <c r="F39" s="5">
        <v>173</v>
      </c>
      <c r="G39" s="5" t="s">
        <v>19</v>
      </c>
      <c r="H39" s="5" t="s">
        <v>1157</v>
      </c>
    </row>
    <row r="40" spans="4:8" x14ac:dyDescent="0.2">
      <c r="D40" s="5" t="s">
        <v>910</v>
      </c>
    </row>
  </sheetData>
  <autoFilter ref="A18:H18"/>
  <conditionalFormatting sqref="C17">
    <cfRule type="cellIs" dxfId="3" priority="1" stopIfTrue="1" operator="equal">
      <formula>$B$10</formula>
    </cfRule>
    <cfRule type="cellIs" dxfId="2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indexed="11"/>
  </sheetPr>
  <dimension ref="A1:H36"/>
  <sheetViews>
    <sheetView workbookViewId="0">
      <selection activeCell="A19" sqref="A19:E1018"/>
    </sheetView>
  </sheetViews>
  <sheetFormatPr defaultRowHeight="12.75" x14ac:dyDescent="0.2"/>
  <cols>
    <col min="1" max="1" width="12" style="5" customWidth="1"/>
    <col min="2" max="2" width="9.5703125" style="5" customWidth="1"/>
    <col min="3" max="3" width="10.28515625" style="5" customWidth="1"/>
    <col min="4" max="4" width="11" style="5" customWidth="1"/>
    <col min="5" max="5" width="53.42578125" style="5" customWidth="1"/>
    <col min="6" max="6" width="8.85546875" style="5" customWidth="1"/>
    <col min="7" max="7" width="13.28515625" style="5" customWidth="1"/>
    <col min="8" max="8" width="51.85546875" style="5" customWidth="1"/>
    <col min="9" max="16384" width="9.140625" style="11"/>
  </cols>
  <sheetData>
    <row r="1" spans="1:5" ht="23.25" thickBot="1" x14ac:dyDescent="0.25">
      <c r="A1" s="13"/>
      <c r="B1" s="14" t="s">
        <v>11</v>
      </c>
      <c r="C1" s="14" t="s">
        <v>12</v>
      </c>
    </row>
    <row r="2" spans="1:5" ht="22.5" x14ac:dyDescent="0.2">
      <c r="A2" s="18" t="s">
        <v>14</v>
      </c>
      <c r="B2" s="19">
        <f>IF(ISERROR(VALUE(TRIM(CLEAN(MID(C20,FIND("/",C20)+1,FIND(")",C20,1)-FIND("/",C20)-1))))),0,VALUE(TRIM(CLEAN(MID(C20,FIND("/",C20)+1,FIND(")",C20,1)-FIND("/",C20)-1)))))</f>
        <v>14</v>
      </c>
      <c r="C2" s="15">
        <f>IF(ISERROR(VALUE(TRIM(CLEAN(MID(C20,FIND("(",C20)+1,FIND("/",C20,1)-FIND("(",C20)-1))))),0,VALUE(TRIM(CLEAN(MID(C20,FIND("(",C20)+1,FIND("/",C20,1)-FIND("(",C20)-1)))))</f>
        <v>14</v>
      </c>
    </row>
    <row r="3" spans="1:5" ht="22.5" x14ac:dyDescent="0.2">
      <c r="A3" s="20" t="s">
        <v>15</v>
      </c>
      <c r="B3" s="21">
        <f>IF(ISERROR(VALUE(TRIM(CLEAN(MID(C21,FIND("/",C21)+1,FIND(")",C21,1)-FIND("/",C21)-1))))),0,VALUE(TRIM(CLEAN(MID(C21,FIND("/",C21)+1,FIND(")",C21,1)-FIND("/",C21)-1)))))</f>
        <v>2</v>
      </c>
      <c r="C3" s="16">
        <f>IF(ISERROR(VALUE(TRIM(CLEAN(MID(C21,FIND("(",C21)+1,FIND("/",C21,1)-FIND("(",C21)-1))))),0,VALUE(TRIM(CLEAN(MID(C21,FIND("(",C21)+1,FIND("/",C21,1)-FIND("(",C21)-1)))))</f>
        <v>2</v>
      </c>
      <c r="E3" s="29" t="s">
        <v>1</v>
      </c>
    </row>
    <row r="4" spans="1:5" ht="22.5" x14ac:dyDescent="0.2">
      <c r="A4" s="20" t="s">
        <v>16</v>
      </c>
      <c r="B4" s="21">
        <f>IF(ISERROR(VALUE(TRIM(CLEAN(MID(C23,FIND("/",C23)+1,FIND(")",C23,1)-FIND("/",C23)-1))))),0,VALUE(TRIM(CLEAN(MID(C23,FIND("/",C23)+1,FIND(")",C23,1)-FIND("/",C23)-1)))))</f>
        <v>14</v>
      </c>
      <c r="C4" s="16">
        <f>IF(ISERROR(VALUE(TRIM(CLEAN(MID(C23,FIND("(",C23)+1,FIND("/",C23,1)-FIND("(",C23)-1))))),0,VALUE(TRIM(CLEAN(MID(C23,FIND("(",C23)+1,FIND("/",C23,1)-FIND("(",C23)-1)))))</f>
        <v>14</v>
      </c>
      <c r="E4" s="29" t="s">
        <v>2</v>
      </c>
    </row>
    <row r="5" spans="1:5" ht="22.5" x14ac:dyDescent="0.2">
      <c r="A5" s="20" t="s">
        <v>17</v>
      </c>
      <c r="B5" s="21">
        <f>IF(ISERROR(VALUE(TRIM(CLEAN(MID(C24,FIND("/",C24)+1,FIND(")",C24,1)-FIND("/",C24)-1))))),0,VALUE(TRIM(CLEAN(MID(C24,FIND("/",C24)+1,FIND(")",C24,1)-FIND("/",C24)-1)))))</f>
        <v>0</v>
      </c>
      <c r="C5" s="16">
        <f>IF(ISERROR(VALUE(TRIM(CLEAN(MID(C24,FIND("(",C24)+1,FIND("/",C24,1)-FIND("(",C24)-1))))),0,VALUE(TRIM(CLEAN(MID(C24,FIND("(",C24)+1,FIND("/",C24,1)-FIND("(",C24)-1)))))</f>
        <v>0</v>
      </c>
    </row>
    <row r="6" spans="1:5" x14ac:dyDescent="0.2">
      <c r="A6" s="20"/>
      <c r="B6" s="21"/>
      <c r="C6" s="16"/>
    </row>
    <row r="7" spans="1:5" ht="13.5" thickBot="1" x14ac:dyDescent="0.25">
      <c r="A7" s="22" t="s">
        <v>13</v>
      </c>
      <c r="B7" s="23">
        <f>SUM(B2:B5)</f>
        <v>30</v>
      </c>
      <c r="C7" s="17">
        <f>SUM(C2:C5)</f>
        <v>30</v>
      </c>
    </row>
    <row r="8" spans="1:5" x14ac:dyDescent="0.2">
      <c r="A8" s="12"/>
      <c r="B8" s="7"/>
      <c r="C8" s="7"/>
    </row>
    <row r="9" spans="1:5" ht="13.5" thickBot="1" x14ac:dyDescent="0.25">
      <c r="A9" s="10"/>
      <c r="B9" s="7"/>
      <c r="C9" s="7"/>
    </row>
    <row r="10" spans="1:5" ht="24" thickTop="1" thickBot="1" x14ac:dyDescent="0.25">
      <c r="A10" s="24" t="s">
        <v>18</v>
      </c>
      <c r="B10" s="26">
        <f>B7-C7</f>
        <v>0</v>
      </c>
      <c r="C10" s="27"/>
    </row>
    <row r="11" spans="1:5" ht="13.5" thickBot="1" x14ac:dyDescent="0.25">
      <c r="A11" s="25" t="s">
        <v>21</v>
      </c>
      <c r="B11" s="28"/>
      <c r="C11" s="28">
        <f t="shared" ref="C11:C16" si="0">COUNTIF(G:G,A11)</f>
        <v>0</v>
      </c>
    </row>
    <row r="12" spans="1:5" ht="23.25" thickBot="1" x14ac:dyDescent="0.25">
      <c r="A12" s="25" t="s">
        <v>22</v>
      </c>
      <c r="B12" s="28"/>
      <c r="C12" s="28">
        <f t="shared" si="0"/>
        <v>0</v>
      </c>
    </row>
    <row r="13" spans="1:5" ht="23.25" thickBot="1" x14ac:dyDescent="0.25">
      <c r="A13" s="25" t="s">
        <v>23</v>
      </c>
      <c r="B13" s="28"/>
      <c r="C13" s="28">
        <f t="shared" si="0"/>
        <v>0</v>
      </c>
    </row>
    <row r="14" spans="1:5" ht="23.25" thickBot="1" x14ac:dyDescent="0.25">
      <c r="A14" s="25" t="s">
        <v>24</v>
      </c>
      <c r="B14" s="28"/>
      <c r="C14" s="28">
        <f t="shared" si="0"/>
        <v>0</v>
      </c>
    </row>
    <row r="15" spans="1:5" ht="13.5" thickBot="1" x14ac:dyDescent="0.25">
      <c r="A15" s="25" t="s">
        <v>19</v>
      </c>
      <c r="B15" s="28"/>
      <c r="C15" s="28">
        <f t="shared" si="0"/>
        <v>0</v>
      </c>
    </row>
    <row r="16" spans="1:5" ht="23.25" thickBot="1" x14ac:dyDescent="0.25">
      <c r="A16" s="25" t="s">
        <v>20</v>
      </c>
      <c r="B16" s="28"/>
      <c r="C16" s="28">
        <f t="shared" si="0"/>
        <v>0</v>
      </c>
    </row>
    <row r="17" spans="1:8" x14ac:dyDescent="0.2">
      <c r="C17" s="5">
        <f>SUM(C11:C16)</f>
        <v>0</v>
      </c>
    </row>
    <row r="18" spans="1:8" customFormat="1" ht="23.25" x14ac:dyDescent="0.25">
      <c r="A18" s="4" t="s">
        <v>3</v>
      </c>
      <c r="B18" s="6" t="s">
        <v>4</v>
      </c>
      <c r="C18" s="8" t="s">
        <v>6</v>
      </c>
      <c r="D18" s="8" t="s">
        <v>7</v>
      </c>
      <c r="E18" s="8" t="s">
        <v>5</v>
      </c>
      <c r="F18" s="3" t="s">
        <v>10</v>
      </c>
      <c r="G18" s="1" t="s">
        <v>9</v>
      </c>
      <c r="H18" s="2" t="s">
        <v>8</v>
      </c>
    </row>
    <row r="19" spans="1:8" x14ac:dyDescent="0.2">
      <c r="A19" s="5" t="s">
        <v>1152</v>
      </c>
    </row>
    <row r="20" spans="1:8" x14ac:dyDescent="0.2">
      <c r="C20" s="5" t="s">
        <v>920</v>
      </c>
    </row>
    <row r="21" spans="1:8" x14ac:dyDescent="0.2">
      <c r="C21" s="5" t="s">
        <v>768</v>
      </c>
    </row>
    <row r="22" spans="1:8" x14ac:dyDescent="0.2">
      <c r="C22" s="5" t="s">
        <v>1044</v>
      </c>
    </row>
    <row r="23" spans="1:8" x14ac:dyDescent="0.2">
      <c r="C23" s="5" t="s">
        <v>743</v>
      </c>
    </row>
    <row r="24" spans="1:8" x14ac:dyDescent="0.2">
      <c r="C24" s="5" t="s">
        <v>713</v>
      </c>
    </row>
    <row r="25" spans="1:8" x14ac:dyDescent="0.2">
      <c r="B25" s="5" t="s">
        <v>1153</v>
      </c>
    </row>
    <row r="26" spans="1:8" x14ac:dyDescent="0.2">
      <c r="D26" s="5" t="s">
        <v>709</v>
      </c>
    </row>
    <row r="27" spans="1:8" x14ac:dyDescent="0.2">
      <c r="D27" s="5" t="s">
        <v>710</v>
      </c>
    </row>
    <row r="28" spans="1:8" x14ac:dyDescent="0.2">
      <c r="D28" s="5" t="s">
        <v>711</v>
      </c>
    </row>
    <row r="29" spans="1:8" x14ac:dyDescent="0.2">
      <c r="D29" s="5" t="s">
        <v>712</v>
      </c>
    </row>
    <row r="30" spans="1:8" x14ac:dyDescent="0.2">
      <c r="D30" s="5" t="s">
        <v>713</v>
      </c>
    </row>
    <row r="31" spans="1:8" x14ac:dyDescent="0.2">
      <c r="B31" s="5" t="s">
        <v>1154</v>
      </c>
    </row>
    <row r="32" spans="1:8" x14ac:dyDescent="0.2">
      <c r="D32" s="5" t="s">
        <v>1006</v>
      </c>
    </row>
    <row r="33" spans="4:4" x14ac:dyDescent="0.2">
      <c r="D33" s="5" t="s">
        <v>768</v>
      </c>
    </row>
    <row r="34" spans="4:4" x14ac:dyDescent="0.2">
      <c r="D34" s="5" t="s">
        <v>913</v>
      </c>
    </row>
    <row r="35" spans="4:4" x14ac:dyDescent="0.2">
      <c r="D35" s="5" t="s">
        <v>743</v>
      </c>
    </row>
    <row r="36" spans="4:4" x14ac:dyDescent="0.2">
      <c r="D36" s="5" t="s">
        <v>713</v>
      </c>
    </row>
  </sheetData>
  <autoFilter ref="A18:H18"/>
  <conditionalFormatting sqref="C17">
    <cfRule type="cellIs" dxfId="1" priority="1" stopIfTrue="1" operator="equal">
      <formula>$B$10</formula>
    </cfRule>
    <cfRule type="cellIs" dxfId="0" priority="2" stopIfTrue="1" operator="notEqual">
      <formula>$B$10</formula>
    </cfRule>
  </conditionalFormatting>
  <dataValidations count="1">
    <dataValidation type="list" allowBlank="1" showInputMessage="1" showErrorMessage="1" sqref="G19:G65536">
      <formula1>$A$11:$A$16</formula1>
    </dataValidation>
  </dataValidations>
  <hyperlinks>
    <hyperlink ref="E3" location="Menu!A1" display="Menu"/>
    <hyperlink ref="E4" location="Summary!A1" display="Summary"/>
  </hyperlinks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LongProperties xmlns="http://schemas.microsoft.com/office/2006/metadata/longPropertie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B86E78E8B09C4A8696B687DC246251" ma:contentTypeVersion="0" ma:contentTypeDescription="Create a new document." ma:contentTypeScope="" ma:versionID="9744701e24676886e5666797f029773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F78F1A-C7C7-4C96-9A0B-09B988F41E90}">
  <ds:schemaRefs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purl.org/dc/dcmitype/"/>
    <ds:schemaRef ds:uri="http://www.w3.org/XML/1998/namespace"/>
    <ds:schemaRef ds:uri="http://purl.org/dc/terms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5996EDA-F953-4192-A0B1-F01414AF3359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9251CD1B-58C8-42AF-9C88-D1F9EEC11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4.xml><?xml version="1.0" encoding="utf-8"?>
<ds:datastoreItem xmlns:ds="http://schemas.openxmlformats.org/officeDocument/2006/customXml" ds:itemID="{C63CE5A0-449F-46F9-8B28-6C5451E8FEA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Menu</vt:lpstr>
      <vt:lpstr>Summary</vt:lpstr>
      <vt:lpstr>Template</vt:lpstr>
      <vt:lpstr>CSV_Lists</vt:lpstr>
      <vt:lpstr>LASTSOURCEAIR</vt:lpstr>
      <vt:lpstr>LRUPOSITION</vt:lpstr>
      <vt:lpstr>LVPS_DETECT</vt:lpstr>
      <vt:lpstr>MAINENGSTART</vt:lpstr>
      <vt:lpstr>MASTERSLAVE_AIRCRAFTMODE</vt:lpstr>
      <vt:lpstr>NEWV235SRC</vt:lpstr>
      <vt:lpstr>NVM_SNAPSHOTTRIGGER</vt:lpstr>
      <vt:lpstr>ONESHOTTD_FALLING_EDGE</vt:lpstr>
      <vt:lpstr>ONESHOTTD_RISING_EDGE</vt:lpstr>
      <vt:lpstr>OPENGENCTPROTECTION</vt:lpstr>
      <vt:lpstr>OPERATIONALTESTS</vt:lpstr>
      <vt:lpstr>OPTSTOILDEBRISMONITOR</vt:lpstr>
      <vt:lpstr>OSX_POSTINITFUNC</vt:lpstr>
      <vt:lpstr>OUTPUT_ACTUATION</vt:lpstr>
      <vt:lpstr>OUTPUTPROCESSING</vt:lpstr>
      <vt:lpstr>OVTPUISOLATION</vt:lpstr>
      <vt:lpstr>OVTPUTEST</vt:lpstr>
      <vt:lpstr>OVERPROTECTIONWITHINHIBITANDCO</vt:lpstr>
      <vt:lpstr>OWN235BUS</vt:lpstr>
      <vt:lpstr>OWN235BUSCURRSRC</vt:lpstr>
      <vt:lpstr>OWN235BUSRAWTARSRC</vt:lpstr>
      <vt:lpstr>OWN235BUSSTATE</vt:lpstr>
      <vt:lpstr>OWN235BUSTARSRC</vt:lpstr>
      <vt:lpstr>OWN235BUSXFER</vt:lpstr>
      <vt:lpstr>OWN235BUSXFER_MANAGER</vt:lpstr>
      <vt:lpstr>OWN270BUS</vt:lpstr>
      <vt:lpstr>OWNSRCAVAILABILITY</vt:lpstr>
      <vt:lpstr>PERFORM_235BUSXFER</vt:lpstr>
      <vt:lpstr>PHSEQPROTECTION</vt:lpstr>
      <vt:lpstr>PORMAINTENANCE</vt:lpstr>
      <vt:lpstr>PROTECTIONFLTLTCH</vt:lpstr>
      <vt:lpstr>PWRUP_OPTSTS_BITE_EXECUTIVE</vt:lpstr>
      <vt:lpstr>PWRUPOPTST</vt:lpstr>
      <vt:lpstr>PWRUPOPTSTATUCCONTACTORDRIVER</vt:lpstr>
      <vt:lpstr>PWRUPOPTSTCONTINUOUS</vt:lpstr>
      <vt:lpstr>PWRUPOPTSTCONTINUOUSTOPLEVEL</vt:lpstr>
      <vt:lpstr>PWRUPOPTSTMODE1</vt:lpstr>
      <vt:lpstr>PWRUPOPTSTMODE1_ATRUCELCUTRIPR</vt:lpstr>
      <vt:lpstr>PWRUPOPTSTMODE1_ATUC</vt:lpstr>
      <vt:lpstr>PWRUPOPTSTMODE1_ATUCELCUTRIPRQ</vt:lpstr>
      <vt:lpstr>PWRUPOPTSTMODE2</vt:lpstr>
      <vt:lpstr>PWRUPOPTSTMODE2_ATUCELCUTRIPRQ</vt:lpstr>
      <vt:lpstr>PWRUPOPTSTMODE2_TIEBTB</vt:lpstr>
      <vt:lpstr>PWRUPOPTSTMODE3</vt:lpstr>
      <vt:lpstr>PWRUPOPTSTMODE3_TIEBTB</vt:lpstr>
      <vt:lpstr>PWRUPOPTSTMODE4</vt:lpstr>
      <vt:lpstr>PWRUPOPTSTMODE4_ATUC</vt:lpstr>
      <vt:lpstr>PWRUPOPTSTTIEBTBCONTACTORDRIVE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Veeran, Venkatachalam      Export License Required - US HCL TECHNOLOGIES LIMITED</dc:creator>
  <cp:keywords>Technical Data</cp:keywords>
  <cp:lastModifiedBy>Manjunath Rajashekar</cp:lastModifiedBy>
  <cp:lastPrinted>2007-09-06T23:01:21Z</cp:lastPrinted>
  <dcterms:created xsi:type="dcterms:W3CDTF">2007-08-14T19:42:07Z</dcterms:created>
  <dcterms:modified xsi:type="dcterms:W3CDTF">2019-04-15T11:18:55Z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Document</vt:lpwstr>
  </property>
  <property fmtid="{D5CDD505-2E9C-101B-9397-08002B2CF9AE}" pid="3" name="TitusGUID">
    <vt:lpwstr>c257ce07-c2f4-4f5d-9e45-3a75a4661703</vt:lpwstr>
  </property>
  <property fmtid="{D5CDD505-2E9C-101B-9397-08002B2CF9AE}" pid="4" name="UTCTechnicalData">
    <vt:lpwstr>Yes</vt:lpwstr>
  </property>
  <property fmtid="{D5CDD505-2E9C-101B-9397-08002B2CF9AE}" pid="5" name="UTCTechnicalDataKeyword">
    <vt:lpwstr>Technical Data</vt:lpwstr>
  </property>
</Properties>
</file>